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Portfolio\cálculo\"/>
    </mc:Choice>
  </mc:AlternateContent>
  <xr:revisionPtr revIDLastSave="0" documentId="13_ncr:1_{68BD3A7C-E967-4EBA-8BF4-EF7BA4ADCC11}" xr6:coauthVersionLast="47" xr6:coauthVersionMax="47" xr10:uidLastSave="{00000000-0000-0000-0000-000000000000}"/>
  <workbookProtection workbookAlgorithmName="SHA-512" workbookHashValue="fpBhS3VYelVRzrLOpuP78kxBelhI9e18Sx8EtRKEKpIMiVonvrar3H6wH+IfUwnfTREK0ZjZqEKouTjkIA9ukw==" workbookSaltValue="rFwES1/dhTsYRU89x+b0dA==" workbookSpinCount="100000" lockStructure="1"/>
  <bookViews>
    <workbookView xWindow="-108" yWindow="-108" windowWidth="23256" windowHeight="12456" xr2:uid="{0C7A40FB-C84E-4A3D-9B09-EE3D5C273EA2}"/>
  </bookViews>
  <sheets>
    <sheet name="Calculad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5" i="1" s="1"/>
  <c r="B13" i="1"/>
  <c r="C14" i="1" s="1"/>
  <c r="C15" i="1" s="1"/>
  <c r="B3" i="1"/>
  <c r="B2" i="1"/>
  <c r="C3" i="1" s="1"/>
  <c r="B8" i="1"/>
  <c r="B7" i="1"/>
  <c r="C8" i="1" s="1"/>
  <c r="C13" i="1" l="1"/>
  <c r="C2" i="1"/>
  <c r="C7" i="1"/>
  <c r="D13" i="1" l="1"/>
  <c r="D14" i="1"/>
  <c r="D15" i="1" s="1"/>
  <c r="D2" i="1"/>
  <c r="D3" i="1"/>
  <c r="D7" i="1"/>
  <c r="D8" i="1"/>
  <c r="E13" i="1" l="1"/>
  <c r="E14" i="1"/>
  <c r="E15" i="1" s="1"/>
  <c r="E2" i="1"/>
  <c r="E3" i="1"/>
  <c r="E8" i="1"/>
  <c r="E7" i="1"/>
  <c r="F13" i="1" l="1"/>
  <c r="F14" i="1"/>
  <c r="F15" i="1" s="1"/>
  <c r="F2" i="1"/>
  <c r="F3" i="1"/>
  <c r="F8" i="1"/>
  <c r="F7" i="1"/>
  <c r="G13" i="1" l="1"/>
  <c r="G14" i="1"/>
  <c r="G15" i="1" s="1"/>
  <c r="G2" i="1"/>
  <c r="G3" i="1"/>
  <c r="G7" i="1"/>
  <c r="G8" i="1"/>
  <c r="H13" i="1" l="1"/>
  <c r="H14" i="1"/>
  <c r="H15" i="1" s="1"/>
  <c r="H2" i="1"/>
  <c r="H3" i="1"/>
  <c r="H7" i="1"/>
  <c r="H8" i="1"/>
  <c r="I13" i="1" l="1"/>
  <c r="J14" i="1" s="1"/>
  <c r="J15" i="1" s="1"/>
  <c r="I14" i="1"/>
  <c r="I15" i="1" s="1"/>
  <c r="I2" i="1"/>
  <c r="I3" i="1"/>
  <c r="I7" i="1"/>
  <c r="I8" i="1"/>
  <c r="B16" i="1" l="1"/>
  <c r="J13" i="1"/>
  <c r="J2" i="1"/>
  <c r="J3" i="1"/>
  <c r="B4" i="1" s="1"/>
  <c r="J7" i="1"/>
  <c r="J8" i="1"/>
  <c r="B9" i="1" s="1"/>
  <c r="K3" i="1" l="1"/>
  <c r="K2" i="1"/>
  <c r="L2" i="1" l="1"/>
  <c r="L3" i="1"/>
  <c r="M2" i="1" l="1"/>
  <c r="M3" i="1"/>
  <c r="N2" i="1" l="1"/>
  <c r="N3" i="1"/>
  <c r="O2" i="1" l="1"/>
  <c r="O3" i="1"/>
  <c r="P2" i="1" l="1"/>
  <c r="P3" i="1"/>
  <c r="Q2" i="1" l="1"/>
  <c r="Q3" i="1"/>
</calcChain>
</file>

<file path=xl/sharedStrings.xml><?xml version="1.0" encoding="utf-8"?>
<sst xmlns="http://schemas.openxmlformats.org/spreadsheetml/2006/main" count="9" uniqueCount="6">
  <si>
    <t>RESIDUO</t>
  </si>
  <si>
    <t>OCTAL</t>
  </si>
  <si>
    <t>BINARIO</t>
  </si>
  <si>
    <t>RESULTADO</t>
  </si>
  <si>
    <t>HEX</t>
  </si>
  <si>
    <t>LETRA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</si>
</sst>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73F6-434A-445F-8BB8-52193784EB94}">
  <dimension ref="A1:Q16"/>
  <sheetViews>
    <sheetView tabSelected="1" workbookViewId="0">
      <selection activeCell="A2" sqref="A2"/>
    </sheetView>
  </sheetViews>
  <sheetFormatPr baseColWidth="10" defaultRowHeight="14.4" x14ac:dyDescent="0.3"/>
  <cols>
    <col min="2" max="2" width="11.5546875" customWidth="1"/>
  </cols>
  <sheetData>
    <row r="1" spans="1:17" ht="15" thickBot="1" x14ac:dyDescent="0.35">
      <c r="A1" s="4" t="s">
        <v>2</v>
      </c>
    </row>
    <row r="2" spans="1:17" ht="15" thickBot="1" x14ac:dyDescent="0.35">
      <c r="A2" s="7">
        <v>34</v>
      </c>
      <c r="B2">
        <f>INT(A2/2)</f>
        <v>17</v>
      </c>
      <c r="C2">
        <f t="shared" ref="C2:Q2" si="0">INT(B2/2)</f>
        <v>8</v>
      </c>
      <c r="D2">
        <f t="shared" si="0"/>
        <v>4</v>
      </c>
      <c r="E2">
        <f t="shared" si="0"/>
        <v>2</v>
      </c>
      <c r="F2">
        <f t="shared" si="0"/>
        <v>1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</row>
    <row r="3" spans="1:17" x14ac:dyDescent="0.3">
      <c r="A3" s="1" t="s">
        <v>0</v>
      </c>
      <c r="B3" s="2">
        <f>MOD(A2,2)</f>
        <v>0</v>
      </c>
      <c r="C3" s="2">
        <f t="shared" ref="C3:Q3" si="1">MOD(B2,2)</f>
        <v>1</v>
      </c>
      <c r="D3" s="2">
        <f t="shared" si="1"/>
        <v>0</v>
      </c>
      <c r="E3" s="2">
        <f t="shared" si="1"/>
        <v>0</v>
      </c>
      <c r="F3" s="2">
        <f t="shared" si="1"/>
        <v>0</v>
      </c>
      <c r="G3" s="2">
        <f t="shared" si="1"/>
        <v>1</v>
      </c>
      <c r="H3" s="2">
        <f t="shared" si="1"/>
        <v>0</v>
      </c>
      <c r="I3" s="2">
        <f t="shared" si="1"/>
        <v>0</v>
      </c>
      <c r="J3" s="2">
        <f t="shared" si="1"/>
        <v>0</v>
      </c>
      <c r="K3" s="2">
        <f t="shared" si="1"/>
        <v>0</v>
      </c>
      <c r="L3" s="2">
        <f t="shared" si="1"/>
        <v>0</v>
      </c>
      <c r="M3" s="2">
        <f t="shared" si="1"/>
        <v>0</v>
      </c>
      <c r="N3" s="2">
        <f t="shared" si="1"/>
        <v>0</v>
      </c>
      <c r="O3" s="2">
        <f t="shared" si="1"/>
        <v>0</v>
      </c>
      <c r="P3" s="2">
        <f t="shared" si="1"/>
        <v>0</v>
      </c>
      <c r="Q3" s="2">
        <f t="shared" si="1"/>
        <v>0</v>
      </c>
    </row>
    <row r="4" spans="1:17" x14ac:dyDescent="0.3">
      <c r="A4" s="2" t="s">
        <v>3</v>
      </c>
      <c r="B4" s="2">
        <f>VALUE(CONCATENATE(J3,I3,H3,G3,F3,E3,D3,C3,B3))</f>
        <v>100010</v>
      </c>
    </row>
    <row r="6" spans="1:17" ht="15" thickBot="1" x14ac:dyDescent="0.35">
      <c r="A6" s="3" t="s">
        <v>1</v>
      </c>
    </row>
    <row r="7" spans="1:17" ht="15" thickBot="1" x14ac:dyDescent="0.35">
      <c r="A7" s="7">
        <v>234</v>
      </c>
      <c r="B7">
        <f>INT(A7/8)</f>
        <v>29</v>
      </c>
      <c r="C7">
        <f>INT(B7/8)</f>
        <v>3</v>
      </c>
      <c r="D7">
        <f>INT(C7/8)</f>
        <v>0</v>
      </c>
      <c r="E7">
        <f t="shared" ref="E7:J7" si="2">INT(D7/8)</f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>INT(H7/8)</f>
        <v>0</v>
      </c>
      <c r="J7">
        <f t="shared" si="2"/>
        <v>0</v>
      </c>
    </row>
    <row r="8" spans="1:17" x14ac:dyDescent="0.3">
      <c r="A8" s="1" t="s">
        <v>0</v>
      </c>
      <c r="B8" s="2">
        <f>MOD(A7,8)</f>
        <v>2</v>
      </c>
      <c r="C8" s="2">
        <f>MOD(B7,8)</f>
        <v>5</v>
      </c>
      <c r="D8" s="2">
        <f>MOD(C7,8)</f>
        <v>3</v>
      </c>
      <c r="E8" s="2">
        <f t="shared" ref="E8:J8" si="3">MOD(D7,8)</f>
        <v>0</v>
      </c>
      <c r="F8" s="2">
        <f t="shared" si="3"/>
        <v>0</v>
      </c>
      <c r="G8" s="2">
        <f t="shared" si="3"/>
        <v>0</v>
      </c>
      <c r="H8" s="2">
        <f t="shared" si="3"/>
        <v>0</v>
      </c>
      <c r="I8" s="2">
        <f t="shared" si="3"/>
        <v>0</v>
      </c>
      <c r="J8" s="2">
        <f t="shared" si="3"/>
        <v>0</v>
      </c>
    </row>
    <row r="9" spans="1:17" x14ac:dyDescent="0.3">
      <c r="A9" s="2" t="s">
        <v>3</v>
      </c>
      <c r="B9" s="2">
        <f>VALUE(CONCATENATE(J8,I8,H8,G8,F8,E8,D8,C8,B8))</f>
        <v>352</v>
      </c>
    </row>
    <row r="12" spans="1:17" ht="15" thickBot="1" x14ac:dyDescent="0.35">
      <c r="A12" s="5" t="s">
        <v>4</v>
      </c>
    </row>
    <row r="13" spans="1:17" ht="15" thickBot="1" x14ac:dyDescent="0.35">
      <c r="A13" s="7">
        <v>1245</v>
      </c>
      <c r="B13">
        <f>INT(A13/16)</f>
        <v>77</v>
      </c>
      <c r="C13">
        <f t="shared" ref="C13:J13" si="4">INT(B13/16)</f>
        <v>4</v>
      </c>
      <c r="D13">
        <f t="shared" si="4"/>
        <v>0</v>
      </c>
      <c r="E13">
        <f t="shared" si="4"/>
        <v>0</v>
      </c>
      <c r="F13">
        <f t="shared" si="4"/>
        <v>0</v>
      </c>
      <c r="G13">
        <f t="shared" si="4"/>
        <v>0</v>
      </c>
      <c r="H13">
        <f t="shared" si="4"/>
        <v>0</v>
      </c>
      <c r="I13">
        <f t="shared" si="4"/>
        <v>0</v>
      </c>
      <c r="J13">
        <f t="shared" si="4"/>
        <v>0</v>
      </c>
    </row>
    <row r="14" spans="1:17" x14ac:dyDescent="0.3">
      <c r="A14" s="1" t="s">
        <v>0</v>
      </c>
      <c r="B14" s="2">
        <f>MOD(A13,16)</f>
        <v>13</v>
      </c>
      <c r="C14" s="2">
        <f t="shared" ref="C14:J14" si="5">MOD(B13,16)</f>
        <v>13</v>
      </c>
      <c r="D14" s="2">
        <f t="shared" si="5"/>
        <v>4</v>
      </c>
      <c r="E14" s="2">
        <f t="shared" si="5"/>
        <v>0</v>
      </c>
      <c r="F14" s="2">
        <f t="shared" si="5"/>
        <v>0</v>
      </c>
      <c r="G14" s="2">
        <f t="shared" si="5"/>
        <v>0</v>
      </c>
      <c r="H14" s="2">
        <f t="shared" si="5"/>
        <v>0</v>
      </c>
      <c r="I14" s="2">
        <f t="shared" si="5"/>
        <v>0</v>
      </c>
      <c r="J14" s="2">
        <f t="shared" si="5"/>
        <v>0</v>
      </c>
    </row>
    <row r="15" spans="1:17" x14ac:dyDescent="0.3">
      <c r="A15" s="2" t="s">
        <v>5</v>
      </c>
      <c r="B15" s="6" t="str">
        <f>IF(B14=10,"A",IF(B14=11,"B",IF(B14=12,"C",IF(B14=13,"D",IF(B14=14,"E",IF(B14=15,"F",B14))))))</f>
        <v>D</v>
      </c>
      <c r="C15" s="6" t="str">
        <f t="shared" ref="C15:J15" si="6">IF(C14=10,"A",IF(C14=11,"B",IF(C14=12,"C",IF(C14=13,"D",IF(C14=14,"E",IF(C14=15,"F",C14))))))</f>
        <v>D</v>
      </c>
      <c r="D15" s="6">
        <f t="shared" si="6"/>
        <v>4</v>
      </c>
      <c r="E15" s="6">
        <f t="shared" si="6"/>
        <v>0</v>
      </c>
      <c r="F15" s="6">
        <f t="shared" si="6"/>
        <v>0</v>
      </c>
      <c r="G15" s="6">
        <f t="shared" si="6"/>
        <v>0</v>
      </c>
      <c r="H15" s="6">
        <f t="shared" si="6"/>
        <v>0</v>
      </c>
      <c r="I15" s="6">
        <f t="shared" si="6"/>
        <v>0</v>
      </c>
      <c r="J15" s="6">
        <f t="shared" si="6"/>
        <v>0</v>
      </c>
    </row>
    <row r="16" spans="1:17" x14ac:dyDescent="0.3">
      <c r="B16" s="6" t="str">
        <f>CONCATENATE(J15,I15,H15,G15,F15,E15,D15,C15,B15)</f>
        <v>0000004DD</v>
      </c>
    </row>
  </sheetData>
  <sheetProtection algorithmName="SHA-512" hashValue="3ojUV6bd2251pqAYGQHKrPBaw7lH4g0My+WjFGoGq0GSMpCMxYLkZ8cYVlZdwA7PV0s0JRfAM+B775rpnAfq9Q==" saltValue="6GVZSS3iu/4bHBHExqolTg==" spinCount="100000" sheet="1" objects="1" scenarios="1" selectLockedCells="1"/>
  <protectedRanges>
    <protectedRange sqref="A2 A7 A13" name="Rango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Escobar</dc:creator>
  <cp:lastModifiedBy>Raymond Escobar</cp:lastModifiedBy>
  <dcterms:created xsi:type="dcterms:W3CDTF">2024-09-27T11:34:19Z</dcterms:created>
  <dcterms:modified xsi:type="dcterms:W3CDTF">2026-03-04T10:21:21Z</dcterms:modified>
</cp:coreProperties>
</file>