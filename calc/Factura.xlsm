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f80089512aaaa03/1º CFI/Ofimática/Excel/Factura/"/>
    </mc:Choice>
  </mc:AlternateContent>
  <xr:revisionPtr revIDLastSave="104" documentId="8_{C913F28A-FB2F-4951-B4FF-20245DB8CEA4}" xr6:coauthVersionLast="47" xr6:coauthVersionMax="47" xr10:uidLastSave="{559F1601-C46A-4991-8482-BE9EDEE65DC1}"/>
  <bookViews>
    <workbookView xWindow="-108" yWindow="-108" windowWidth="23256" windowHeight="12456" xr2:uid="{87FC93F0-0215-462A-BEA2-DF52503404CA}"/>
  </bookViews>
  <sheets>
    <sheet name="Factura" sheetId="1" r:id="rId1"/>
    <sheet name="Produc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10" i="1"/>
  <c r="H10" i="1" s="1"/>
  <c r="E11" i="1"/>
  <c r="I11" i="1" s="1"/>
  <c r="E12" i="1"/>
  <c r="I12" i="1" s="1"/>
  <c r="E13" i="1"/>
  <c r="I13" i="1" s="1"/>
  <c r="E14" i="1"/>
  <c r="I14" i="1" s="1"/>
  <c r="E15" i="1"/>
  <c r="I15" i="1" s="1"/>
  <c r="E16" i="1"/>
  <c r="I16" i="1" s="1"/>
  <c r="E17" i="1"/>
  <c r="I17" i="1" s="1"/>
  <c r="E18" i="1"/>
  <c r="I18" i="1" s="1"/>
  <c r="E19" i="1"/>
  <c r="I19" i="1" s="1"/>
  <c r="E20" i="1"/>
  <c r="I20" i="1" s="1"/>
  <c r="E21" i="1"/>
  <c r="I21" i="1" s="1"/>
  <c r="E22" i="1"/>
  <c r="I22" i="1" s="1"/>
  <c r="E23" i="1"/>
  <c r="I23" i="1" s="1"/>
  <c r="E24" i="1"/>
  <c r="I24" i="1" s="1"/>
  <c r="E25" i="1"/>
  <c r="I25" i="1" s="1"/>
  <c r="E26" i="1"/>
  <c r="I26" i="1" s="1"/>
  <c r="E27" i="1"/>
  <c r="I27" i="1" s="1"/>
  <c r="E28" i="1"/>
  <c r="I28" i="1" s="1"/>
  <c r="E29" i="1"/>
  <c r="I29" i="1" s="1"/>
  <c r="E30" i="1"/>
  <c r="I30" i="1" s="1"/>
  <c r="E31" i="1"/>
  <c r="I31" i="1" s="1"/>
  <c r="E32" i="1"/>
  <c r="I32" i="1" s="1"/>
  <c r="E33" i="1"/>
  <c r="I33" i="1" s="1"/>
  <c r="E34" i="1"/>
  <c r="I34" i="1" s="1"/>
  <c r="E10" i="1"/>
  <c r="I10" i="1" s="1"/>
  <c r="E8" i="1"/>
  <c r="H36" i="1" l="1"/>
  <c r="H35" i="1" s="1"/>
  <c r="H37" i="1" s="1"/>
  <c r="C36" i="1"/>
  <c r="C35" i="1" s="1"/>
  <c r="C37" i="1" s="1"/>
  <c r="D36" i="1"/>
  <c r="D35" i="1" s="1"/>
  <c r="D37" i="1" s="1"/>
  <c r="E36" i="1"/>
  <c r="E35" i="1" s="1"/>
  <c r="E37" i="1" s="1"/>
  <c r="F36" i="1"/>
  <c r="F35" i="1" s="1"/>
  <c r="F37" i="1" s="1"/>
  <c r="G36" i="1"/>
  <c r="G35" i="1" l="1"/>
  <c r="I36" i="1"/>
  <c r="G37" i="1" l="1"/>
  <c r="I37" i="1" l="1"/>
  <c r="I38" i="1" s="1"/>
</calcChain>
</file>

<file path=xl/sharedStrings.xml><?xml version="1.0" encoding="utf-8"?>
<sst xmlns="http://schemas.openxmlformats.org/spreadsheetml/2006/main" count="122" uniqueCount="119">
  <si>
    <t>Descripción</t>
  </si>
  <si>
    <t>Precio Unitario</t>
  </si>
  <si>
    <t>Iva</t>
  </si>
  <si>
    <t>Ajo</t>
  </si>
  <si>
    <t>Brócoli</t>
  </si>
  <si>
    <t>Cebolla</t>
  </si>
  <si>
    <t>Lechuga</t>
  </si>
  <si>
    <t>Pepino</t>
  </si>
  <si>
    <t>Pimiento</t>
  </si>
  <si>
    <t>Repollo</t>
  </si>
  <si>
    <t>Tomate</t>
  </si>
  <si>
    <t>Zanahoria</t>
  </si>
  <si>
    <t>Plátano</t>
  </si>
  <si>
    <t>Limón</t>
  </si>
  <si>
    <t>Manzana</t>
  </si>
  <si>
    <t>Pera</t>
  </si>
  <si>
    <t>Piña</t>
  </si>
  <si>
    <t>Sandía</t>
  </si>
  <si>
    <t>Fresa</t>
  </si>
  <si>
    <t>Uva</t>
  </si>
  <si>
    <t>Mora</t>
  </si>
  <si>
    <t>Carne de Res</t>
  </si>
  <si>
    <t>Carne de Cerdo</t>
  </si>
  <si>
    <t>Jamón York</t>
  </si>
  <si>
    <t>Jamón Serrano</t>
  </si>
  <si>
    <t>Lubina</t>
  </si>
  <si>
    <t>Atún</t>
  </si>
  <si>
    <t>Salchichas</t>
  </si>
  <si>
    <t>Salmón</t>
  </si>
  <si>
    <t>Gambas</t>
  </si>
  <si>
    <t>Langostinos</t>
  </si>
  <si>
    <t>Bacon</t>
  </si>
  <si>
    <t>Chorizo</t>
  </si>
  <si>
    <t>Arroz</t>
  </si>
  <si>
    <t>Azúcar</t>
  </si>
  <si>
    <t>Cereal</t>
  </si>
  <si>
    <t>Gelatina</t>
  </si>
  <si>
    <t>Harina de Maíz</t>
  </si>
  <si>
    <t>Harina de Trigo</t>
  </si>
  <si>
    <t>Nueces</t>
  </si>
  <si>
    <t>Pasas</t>
  </si>
  <si>
    <t>Pan</t>
  </si>
  <si>
    <t>Aceitunas</t>
  </si>
  <si>
    <t>Pasta</t>
  </si>
  <si>
    <t>Vainilla</t>
  </si>
  <si>
    <t>Ketchup</t>
  </si>
  <si>
    <t>Mayonesa</t>
  </si>
  <si>
    <t>Soja</t>
  </si>
  <si>
    <t>Mostaza</t>
  </si>
  <si>
    <t>Puré de Patatas</t>
  </si>
  <si>
    <t>Patatas</t>
  </si>
  <si>
    <t>Leche</t>
  </si>
  <si>
    <t>Mantequilla</t>
  </si>
  <si>
    <t>Huevos</t>
  </si>
  <si>
    <t>Yogurt</t>
  </si>
  <si>
    <t>Helado</t>
  </si>
  <si>
    <t>Lentejas</t>
  </si>
  <si>
    <t>Frijoles</t>
  </si>
  <si>
    <t>Garbanzos</t>
  </si>
  <si>
    <t>Maíz</t>
  </si>
  <si>
    <t>Aceite de Girasol</t>
  </si>
  <si>
    <t>Aceite de Oliva</t>
  </si>
  <si>
    <t>Miel</t>
  </si>
  <si>
    <t>Vinagre</t>
  </si>
  <si>
    <t>Sardinas</t>
  </si>
  <si>
    <t>Arena para Gatos</t>
  </si>
  <si>
    <t>Comida para Gatos</t>
  </si>
  <si>
    <t>Comida para Perros</t>
  </si>
  <si>
    <t>Comida para Aves</t>
  </si>
  <si>
    <t>Medicinas</t>
  </si>
  <si>
    <t>Shampoo</t>
  </si>
  <si>
    <t>Agua</t>
  </si>
  <si>
    <t>Café</t>
  </si>
  <si>
    <t>Jugo de Naranja</t>
  </si>
  <si>
    <t>Té</t>
  </si>
  <si>
    <t>Vino</t>
  </si>
  <si>
    <t>Sal</t>
  </si>
  <si>
    <t>Canela</t>
  </si>
  <si>
    <t>Pimienta</t>
  </si>
  <si>
    <t>Orégano</t>
  </si>
  <si>
    <t>Sazonador</t>
  </si>
  <si>
    <t>Papel plata</t>
  </si>
  <si>
    <t>Papel tansparrente</t>
  </si>
  <si>
    <t>Papel higiénico</t>
  </si>
  <si>
    <t>Servilletas</t>
  </si>
  <si>
    <t>Papel de cocina</t>
  </si>
  <si>
    <t>Acondicionador</t>
  </si>
  <si>
    <t>Desodorante</t>
  </si>
  <si>
    <t>Pasta dental</t>
  </si>
  <si>
    <t>Hilo dental</t>
  </si>
  <si>
    <t>Enjuague bucal</t>
  </si>
  <si>
    <t>Lejía</t>
  </si>
  <si>
    <t>Detergente en polvo</t>
  </si>
  <si>
    <t>Desinfectante</t>
  </si>
  <si>
    <t>Toallas húmedas</t>
  </si>
  <si>
    <t>Crema para afeitar</t>
  </si>
  <si>
    <t>Jabón lavaplatos</t>
  </si>
  <si>
    <t>Jabón para ropa</t>
  </si>
  <si>
    <t>Jabón corporal</t>
  </si>
  <si>
    <t>Crema humectante</t>
  </si>
  <si>
    <t>Loción corporal</t>
  </si>
  <si>
    <t>Galletas</t>
  </si>
  <si>
    <t>Soda</t>
  </si>
  <si>
    <t>IVA Y RE</t>
  </si>
  <si>
    <t>BASE
IMPONIBLE</t>
  </si>
  <si>
    <t>IMPORTE
IMPUESTO</t>
  </si>
  <si>
    <t>TOTAL FACTURA</t>
  </si>
  <si>
    <t>Cliente:</t>
  </si>
  <si>
    <t>NIF:</t>
  </si>
  <si>
    <t>FACTURA Nº</t>
  </si>
  <si>
    <t>FECHA</t>
  </si>
  <si>
    <t>¿R.E.?</t>
  </si>
  <si>
    <t>UNIDADES</t>
  </si>
  <si>
    <t>DESCRIPCIÓN</t>
  </si>
  <si>
    <t>PRECIO
UNITARIO</t>
  </si>
  <si>
    <t>DESCUENTO</t>
  </si>
  <si>
    <t>I.V.A.</t>
  </si>
  <si>
    <t>R.E.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</si>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</sst>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[$€-2]\ * #,##0.00_-;\-[$€-2]\ * #,##0.00_-;_-[$€-2]\ * &quot;-&quot;??_-;_-@_-"/>
    <numFmt numFmtId="165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5">
    <xf numFmtId="0" fontId="0" fillId="0" borderId="0" xfId="0"/>
    <xf numFmtId="164" fontId="0" fillId="0" borderId="0" xfId="0" applyNumberFormat="1"/>
    <xf numFmtId="165" fontId="0" fillId="0" borderId="0" xfId="1" applyNumberFormat="1" applyFont="1"/>
    <xf numFmtId="164" fontId="0" fillId="0" borderId="23" xfId="0" applyNumberFormat="1" applyBorder="1"/>
    <xf numFmtId="164" fontId="0" fillId="0" borderId="30" xfId="0" applyNumberFormat="1" applyBorder="1"/>
    <xf numFmtId="164" fontId="0" fillId="0" borderId="33" xfId="0" applyNumberFormat="1" applyBorder="1"/>
    <xf numFmtId="165" fontId="0" fillId="0" borderId="13" xfId="1" applyNumberFormat="1" applyFont="1" applyBorder="1"/>
    <xf numFmtId="165" fontId="0" fillId="0" borderId="14" xfId="1" applyNumberFormat="1" applyFont="1" applyBorder="1"/>
    <xf numFmtId="165" fontId="0" fillId="0" borderId="15" xfId="1" applyNumberFormat="1" applyFont="1" applyBorder="1"/>
    <xf numFmtId="164" fontId="0" fillId="0" borderId="13" xfId="0" applyNumberFormat="1" applyBorder="1"/>
    <xf numFmtId="165" fontId="0" fillId="0" borderId="34" xfId="0" applyNumberFormat="1" applyBorder="1"/>
    <xf numFmtId="164" fontId="0" fillId="0" borderId="14" xfId="0" applyNumberFormat="1" applyBorder="1"/>
    <xf numFmtId="164" fontId="0" fillId="0" borderId="41" xfId="0" applyNumberFormat="1" applyBorder="1"/>
    <xf numFmtId="164" fontId="0" fillId="0" borderId="16" xfId="0" applyNumberFormat="1" applyBorder="1" applyAlignment="1">
      <alignment vertical="center"/>
    </xf>
    <xf numFmtId="164" fontId="0" fillId="0" borderId="10" xfId="0" applyNumberFormat="1" applyBorder="1" applyAlignment="1">
      <alignment vertical="center"/>
    </xf>
    <xf numFmtId="164" fontId="0" fillId="0" borderId="11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164" fontId="0" fillId="0" borderId="40" xfId="0" applyNumberFormat="1" applyBorder="1" applyAlignment="1">
      <alignment vertical="center"/>
    </xf>
    <xf numFmtId="165" fontId="0" fillId="0" borderId="28" xfId="0" applyNumberFormat="1" applyBorder="1"/>
    <xf numFmtId="165" fontId="0" fillId="0" borderId="32" xfId="0" applyNumberFormat="1" applyBorder="1"/>
    <xf numFmtId="164" fontId="0" fillId="0" borderId="7" xfId="0" applyNumberFormat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164" fontId="0" fillId="0" borderId="39" xfId="0" applyNumberFormat="1" applyBorder="1" applyAlignment="1">
      <alignment horizontal="right" vertical="center"/>
    </xf>
    <xf numFmtId="164" fontId="0" fillId="0" borderId="3" xfId="2" applyNumberFormat="1" applyFont="1" applyBorder="1" applyAlignment="1">
      <alignment horizontal="right" vertical="center"/>
    </xf>
    <xf numFmtId="164" fontId="0" fillId="0" borderId="1" xfId="2" applyNumberFormat="1" applyFont="1" applyBorder="1" applyAlignment="1">
      <alignment horizontal="right" vertical="center"/>
    </xf>
    <xf numFmtId="164" fontId="0" fillId="0" borderId="8" xfId="2" applyNumberFormat="1" applyFont="1" applyBorder="1" applyAlignment="1">
      <alignment horizontal="right" vertical="center"/>
    </xf>
    <xf numFmtId="164" fontId="0" fillId="2" borderId="30" xfId="0" applyNumberFormat="1" applyFill="1" applyBorder="1"/>
    <xf numFmtId="165" fontId="0" fillId="2" borderId="14" xfId="1" applyNumberFormat="1" applyFont="1" applyFill="1" applyBorder="1"/>
    <xf numFmtId="165" fontId="0" fillId="2" borderId="28" xfId="0" applyNumberFormat="1" applyFill="1" applyBorder="1"/>
    <xf numFmtId="164" fontId="0" fillId="2" borderId="14" xfId="0" applyNumberFormat="1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0" xfId="0" applyFill="1"/>
    <xf numFmtId="0" fontId="0" fillId="2" borderId="21" xfId="0" applyFill="1" applyBorder="1"/>
    <xf numFmtId="0" fontId="3" fillId="3" borderId="2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 wrapText="1"/>
    </xf>
    <xf numFmtId="0" fontId="3" fillId="3" borderId="21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165" fontId="3" fillId="3" borderId="31" xfId="1" applyNumberFormat="1" applyFont="1" applyFill="1" applyBorder="1" applyAlignment="1">
      <alignment horizontal="center" vertical="center"/>
    </xf>
    <xf numFmtId="165" fontId="3" fillId="3" borderId="12" xfId="1" applyNumberFormat="1" applyFont="1" applyFill="1" applyBorder="1" applyAlignment="1">
      <alignment horizontal="center" vertical="center"/>
    </xf>
    <xf numFmtId="165" fontId="3" fillId="3" borderId="6" xfId="1" applyNumberFormat="1" applyFont="1" applyFill="1" applyBorder="1" applyAlignment="1">
      <alignment horizontal="center" vertical="center"/>
    </xf>
    <xf numFmtId="165" fontId="3" fillId="3" borderId="4" xfId="1" applyNumberFormat="1" applyFont="1" applyFill="1" applyBorder="1" applyAlignment="1">
      <alignment horizontal="center" vertical="center"/>
    </xf>
    <xf numFmtId="165" fontId="3" fillId="3" borderId="5" xfId="1" applyNumberFormat="1" applyFont="1" applyFill="1" applyBorder="1" applyAlignment="1">
      <alignment horizontal="center" vertical="center"/>
    </xf>
    <xf numFmtId="165" fontId="3" fillId="3" borderId="38" xfId="1" applyNumberFormat="1" applyFont="1" applyFill="1" applyBorder="1" applyAlignment="1">
      <alignment horizontal="center" vertical="center"/>
    </xf>
    <xf numFmtId="164" fontId="3" fillId="3" borderId="13" xfId="0" applyNumberFormat="1" applyFont="1" applyFill="1" applyBorder="1"/>
    <xf numFmtId="164" fontId="4" fillId="2" borderId="2" xfId="0" applyNumberFormat="1" applyFont="1" applyFill="1" applyBorder="1" applyAlignment="1">
      <alignment vertical="center"/>
    </xf>
    <xf numFmtId="164" fontId="4" fillId="2" borderId="14" xfId="0" applyNumberFormat="1" applyFont="1" applyFill="1" applyBorder="1" applyAlignment="1">
      <alignment vertical="center"/>
    </xf>
    <xf numFmtId="164" fontId="4" fillId="2" borderId="41" xfId="0" applyNumberFormat="1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3" fillId="3" borderId="46" xfId="0" applyFont="1" applyFill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9" fontId="0" fillId="0" borderId="13" xfId="0" applyNumberFormat="1" applyBorder="1" applyProtection="1">
      <protection locked="0"/>
    </xf>
    <xf numFmtId="9" fontId="0" fillId="2" borderId="14" xfId="0" applyNumberFormat="1" applyFill="1" applyBorder="1" applyProtection="1">
      <protection locked="0"/>
    </xf>
    <xf numFmtId="9" fontId="0" fillId="0" borderId="14" xfId="0" applyNumberFormat="1" applyBorder="1" applyProtection="1">
      <protection locked="0"/>
    </xf>
    <xf numFmtId="9" fontId="0" fillId="0" borderId="15" xfId="0" applyNumberFormat="1" applyBorder="1" applyProtection="1">
      <protection locked="0"/>
    </xf>
    <xf numFmtId="0" fontId="5" fillId="3" borderId="24" xfId="0" applyFont="1" applyFill="1" applyBorder="1" applyAlignment="1" applyProtection="1">
      <alignment horizontal="center"/>
      <protection locked="0"/>
    </xf>
    <xf numFmtId="0" fontId="5" fillId="3" borderId="23" xfId="0" applyFont="1" applyFill="1" applyBorder="1" applyAlignment="1" applyProtection="1">
      <alignment horizontal="center"/>
      <protection locked="0"/>
    </xf>
    <xf numFmtId="0" fontId="5" fillId="3" borderId="25" xfId="0" applyFont="1" applyFill="1" applyBorder="1" applyAlignment="1" applyProtection="1">
      <alignment horizontal="center"/>
      <protection locked="0"/>
    </xf>
    <xf numFmtId="0" fontId="5" fillId="3" borderId="26" xfId="0" applyFont="1" applyFill="1" applyBorder="1" applyAlignment="1" applyProtection="1">
      <alignment horizontal="center"/>
      <protection locked="0"/>
    </xf>
    <xf numFmtId="0" fontId="5" fillId="3" borderId="27" xfId="0" applyFont="1" applyFill="1" applyBorder="1" applyAlignment="1" applyProtection="1">
      <alignment horizontal="center"/>
      <protection locked="0"/>
    </xf>
    <xf numFmtId="0" fontId="5" fillId="3" borderId="28" xfId="0" applyFont="1" applyFill="1" applyBorder="1" applyAlignment="1">
      <alignment horizontal="center"/>
    </xf>
    <xf numFmtId="0" fontId="5" fillId="3" borderId="29" xfId="0" applyFont="1" applyFill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0" fontId="5" fillId="3" borderId="29" xfId="0" applyFont="1" applyFill="1" applyBorder="1" applyAlignment="1" applyProtection="1">
      <alignment horizontal="center"/>
      <protection locked="0"/>
    </xf>
    <xf numFmtId="0" fontId="5" fillId="3" borderId="30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0" fontId="6" fillId="2" borderId="36" xfId="0" applyFont="1" applyFill="1" applyBorder="1" applyAlignment="1" applyProtection="1">
      <alignment horizontal="center" vertical="center"/>
      <protection locked="0"/>
    </xf>
    <xf numFmtId="0" fontId="5" fillId="3" borderId="35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0" fontId="0" fillId="2" borderId="7" xfId="0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" fillId="3" borderId="47" xfId="0" applyFont="1" applyFill="1" applyBorder="1" applyAlignment="1">
      <alignment horizontal="center" vertical="center"/>
    </xf>
    <xf numFmtId="0" fontId="3" fillId="3" borderId="4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9" xfId="0" applyFont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2" borderId="17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</cellXfs>
  <cellStyles count="3">
    <cellStyle name="Moneda" xfId="2" builtinId="4"/>
    <cellStyle name="Normal" xfId="0" builtinId="0"/>
    <cellStyle name="Porcentaje" xfId="1" builtinId="5"/>
  </cellStyles>
  <dxfs count="2">
    <dxf>
      <numFmt numFmtId="165" formatCode="0.0%"/>
    </dxf>
    <dxf>
      <numFmt numFmtId="164" formatCode="_-[$€-2]\ * #,##0.00_-;\-[$€-2]\ * #,##0.00_-;_-[$€-2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I$7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53095</xdr:colOff>
      <xdr:row>2</xdr:row>
      <xdr:rowOff>65549</xdr:rowOff>
    </xdr:from>
    <xdr:to>
      <xdr:col>4</xdr:col>
      <xdr:colOff>14420</xdr:colOff>
      <xdr:row>4</xdr:row>
      <xdr:rowOff>122904</xdr:rowOff>
    </xdr:to>
    <xdr:pic>
      <xdr:nvPicPr>
        <xdr:cNvPr id="2" name="Imagen 1" descr="Mercadona: los 5 productos más vendidos - Alavera Parque Comercial">
          <a:extLst>
            <a:ext uri="{FF2B5EF4-FFF2-40B4-BE49-F238E27FC236}">
              <a16:creationId xmlns:a16="http://schemas.microsoft.com/office/drawing/2014/main" id="{0F72944F-CB43-F146-074F-D4A50A7C8C3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64" t="56206" r="3768" b="21246"/>
        <a:stretch/>
      </xdr:blipFill>
      <xdr:spPr bwMode="auto">
        <a:xfrm>
          <a:off x="246135" y="441469"/>
          <a:ext cx="2338765" cy="423115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786580</xdr:colOff>
      <xdr:row>1</xdr:row>
      <xdr:rowOff>61454</xdr:rowOff>
    </xdr:from>
    <xdr:to>
      <xdr:col>4</xdr:col>
      <xdr:colOff>762176</xdr:colOff>
      <xdr:row>5</xdr:row>
      <xdr:rowOff>86033</xdr:rowOff>
    </xdr:to>
    <xdr:pic>
      <xdr:nvPicPr>
        <xdr:cNvPr id="3" name="Imagen 2" descr="Mercadona - Apps en Google Play">
          <a:extLst>
            <a:ext uri="{FF2B5EF4-FFF2-40B4-BE49-F238E27FC236}">
              <a16:creationId xmlns:a16="http://schemas.microsoft.com/office/drawing/2014/main" id="{AABB5E1D-9D52-E023-5066-2F320E1C3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6125" y="257727"/>
          <a:ext cx="772233" cy="763488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175260</xdr:colOff>
          <xdr:row>6</xdr:row>
          <xdr:rowOff>76200</xdr:rowOff>
        </xdr:from>
        <xdr:to>
          <xdr:col>6</xdr:col>
          <xdr:colOff>640080</xdr:colOff>
          <xdr:row>7</xdr:row>
          <xdr:rowOff>114300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6</xdr:row>
          <xdr:rowOff>76200</xdr:rowOff>
        </xdr:from>
        <xdr:to>
          <xdr:col>7</xdr:col>
          <xdr:colOff>655320</xdr:colOff>
          <xdr:row>7</xdr:row>
          <xdr:rowOff>114300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37</xdr:row>
          <xdr:rowOff>53340</xdr:rowOff>
        </xdr:from>
        <xdr:to>
          <xdr:col>5</xdr:col>
          <xdr:colOff>7620</xdr:colOff>
          <xdr:row>37</xdr:row>
          <xdr:rowOff>320040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CDFAA8-A720-481F-955C-CCE8F8D47E3D}" name="Tabla1" displayName="Tabla1" ref="A1:C101" totalsRowShown="0">
  <autoFilter ref="A1:C101" xr:uid="{45CDFAA8-A720-481F-955C-CCE8F8D47E3D}"/>
  <tableColumns count="3">
    <tableColumn id="1" xr3:uid="{92759FC9-4717-4412-876C-0218CBF64285}" name="Descripción"/>
    <tableColumn id="2" xr3:uid="{6C6C84AF-8675-4303-9504-ECB4BBAC3B7D}" name="Precio Unitario" dataDxfId="1"/>
    <tableColumn id="3" xr3:uid="{4A23F858-F625-4FE1-AD0B-1C9262C97554}" name="Iva" dataDxfId="0" dataCellStyle="Porcentaj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989D-1AFA-4DA4-9FAF-3F87E8AE4B5F}">
  <sheetPr codeName="Hoja1">
    <tabColor rgb="FF00B050"/>
  </sheetPr>
  <dimension ref="A1:J59"/>
  <sheetViews>
    <sheetView tabSelected="1" topLeftCell="A25" zoomScaleNormal="100" workbookViewId="0">
      <selection activeCell="F36" sqref="F36"/>
    </sheetView>
  </sheetViews>
  <sheetFormatPr baseColWidth="10" defaultColWidth="0" defaultRowHeight="14.4" zeroHeight="1" x14ac:dyDescent="0.3"/>
  <cols>
    <col min="1" max="1" width="2.77734375" customWidth="1"/>
    <col min="2" max="9" width="11.5546875" customWidth="1"/>
    <col min="10" max="10" width="2.77734375" customWidth="1"/>
    <col min="11" max="16384" width="11.5546875" hidden="1"/>
  </cols>
  <sheetData>
    <row r="1" spans="1:10" ht="15" thickBot="1" x14ac:dyDescent="0.35">
      <c r="A1" s="88"/>
      <c r="B1" s="89"/>
      <c r="C1" s="89"/>
      <c r="D1" s="89"/>
      <c r="E1" s="89"/>
      <c r="F1" s="89"/>
      <c r="G1" s="89"/>
      <c r="H1" s="89"/>
      <c r="I1" s="89"/>
      <c r="J1" s="88"/>
    </row>
    <row r="2" spans="1:10" x14ac:dyDescent="0.3">
      <c r="A2" s="88"/>
      <c r="B2" s="30"/>
      <c r="C2" s="31"/>
      <c r="D2" s="31"/>
      <c r="E2" s="32"/>
      <c r="F2" s="39" t="s">
        <v>107</v>
      </c>
      <c r="G2" s="65"/>
      <c r="H2" s="65"/>
      <c r="I2" s="66"/>
      <c r="J2" s="88"/>
    </row>
    <row r="3" spans="1:10" x14ac:dyDescent="0.3">
      <c r="A3" s="88"/>
      <c r="B3" s="33"/>
      <c r="C3" s="34"/>
      <c r="D3" s="34"/>
      <c r="E3" s="35"/>
      <c r="F3" s="67"/>
      <c r="G3" s="68"/>
      <c r="H3" s="68"/>
      <c r="I3" s="69"/>
      <c r="J3" s="88"/>
    </row>
    <row r="4" spans="1:10" x14ac:dyDescent="0.3">
      <c r="A4" s="88"/>
      <c r="B4" s="33"/>
      <c r="C4" s="34"/>
      <c r="D4" s="34"/>
      <c r="E4" s="35"/>
      <c r="F4" s="70"/>
      <c r="G4" s="71"/>
      <c r="H4" s="71"/>
      <c r="I4" s="72"/>
      <c r="J4" s="88"/>
    </row>
    <row r="5" spans="1:10" x14ac:dyDescent="0.3">
      <c r="A5" s="88"/>
      <c r="B5" s="33"/>
      <c r="C5" s="34"/>
      <c r="D5" s="34"/>
      <c r="E5" s="35"/>
      <c r="F5" s="40" t="s">
        <v>108</v>
      </c>
      <c r="G5" s="73"/>
      <c r="H5" s="73"/>
      <c r="I5" s="74"/>
      <c r="J5" s="88"/>
    </row>
    <row r="6" spans="1:10" ht="15" thickBot="1" x14ac:dyDescent="0.35">
      <c r="A6" s="88"/>
      <c r="B6" s="33"/>
      <c r="C6" s="34"/>
      <c r="D6" s="34"/>
      <c r="E6" s="35"/>
      <c r="F6" s="79"/>
      <c r="G6" s="80"/>
      <c r="H6" s="80"/>
      <c r="I6" s="81"/>
      <c r="J6" s="88"/>
    </row>
    <row r="7" spans="1:10" x14ac:dyDescent="0.3">
      <c r="A7" s="88"/>
      <c r="B7" s="95" t="s">
        <v>109</v>
      </c>
      <c r="C7" s="96"/>
      <c r="D7" s="99">
        <v>1</v>
      </c>
      <c r="E7" s="54" t="s">
        <v>110</v>
      </c>
      <c r="F7" s="101" t="s">
        <v>111</v>
      </c>
      <c r="G7" s="75"/>
      <c r="H7" s="75"/>
      <c r="I7" s="77">
        <v>2</v>
      </c>
      <c r="J7" s="88"/>
    </row>
    <row r="8" spans="1:10" ht="15" thickBot="1" x14ac:dyDescent="0.35">
      <c r="A8" s="88"/>
      <c r="B8" s="97"/>
      <c r="C8" s="98"/>
      <c r="D8" s="100"/>
      <c r="E8" s="56">
        <f ca="1">TODAY()</f>
        <v>45616</v>
      </c>
      <c r="F8" s="102"/>
      <c r="G8" s="76"/>
      <c r="H8" s="76"/>
      <c r="I8" s="78"/>
      <c r="J8" s="88"/>
    </row>
    <row r="9" spans="1:10" ht="29.4" thickBot="1" x14ac:dyDescent="0.35">
      <c r="A9" s="88"/>
      <c r="B9" s="55" t="s">
        <v>112</v>
      </c>
      <c r="C9" s="86" t="s">
        <v>113</v>
      </c>
      <c r="D9" s="87"/>
      <c r="E9" s="37" t="s">
        <v>114</v>
      </c>
      <c r="F9" s="36" t="s">
        <v>115</v>
      </c>
      <c r="G9" s="36" t="s">
        <v>116</v>
      </c>
      <c r="H9" s="36" t="s">
        <v>117</v>
      </c>
      <c r="I9" s="38" t="s">
        <v>118</v>
      </c>
      <c r="J9" s="88"/>
    </row>
    <row r="10" spans="1:10" x14ac:dyDescent="0.3">
      <c r="A10" s="88"/>
      <c r="B10" s="57">
        <v>2</v>
      </c>
      <c r="C10" s="91" t="s">
        <v>14</v>
      </c>
      <c r="D10" s="92"/>
      <c r="E10" s="3">
        <f>IFERROR(VLOOKUP(C10,Tabla1[],2,FALSE),"")</f>
        <v>3.1</v>
      </c>
      <c r="F10" s="61"/>
      <c r="G10" s="6">
        <f>IFERROR(VLOOKUP(C10,Tabla1[],3,FALSE),"")</f>
        <v>0.04</v>
      </c>
      <c r="H10" s="10" t="str">
        <f>IF($I$7=1,IF(G10=21%,5.2%,IF(G10=10%,1.4%,IF(G10=4%,0.5%,""))),"")</f>
        <v/>
      </c>
      <c r="I10" s="9">
        <f>IFERROR((B10*E10)-((B10*E10)*F10),"")</f>
        <v>6.2</v>
      </c>
      <c r="J10" s="88"/>
    </row>
    <row r="11" spans="1:10" x14ac:dyDescent="0.3">
      <c r="A11" s="88"/>
      <c r="B11" s="58">
        <v>4</v>
      </c>
      <c r="C11" s="82" t="s">
        <v>7</v>
      </c>
      <c r="D11" s="83"/>
      <c r="E11" s="26">
        <f>IFERROR(VLOOKUP(C11,Tabla1[],2,FALSE),"")</f>
        <v>1.2</v>
      </c>
      <c r="F11" s="62"/>
      <c r="G11" s="27">
        <f>IFERROR(VLOOKUP(C11,Tabla1[],3,FALSE),"")</f>
        <v>0.21</v>
      </c>
      <c r="H11" s="28" t="str">
        <f t="shared" ref="H11:H34" si="0">IF($I$7=1,IF(G11=21%,5.2%,IF(G11=10%,1.4%,IF(G11=4%,0.5%,""))),"")</f>
        <v/>
      </c>
      <c r="I11" s="29">
        <f t="shared" ref="I11:I34" si="1">IFERROR((B11*E11)-((B11*E11)*F11),"")</f>
        <v>4.8</v>
      </c>
      <c r="J11" s="88"/>
    </row>
    <row r="12" spans="1:10" x14ac:dyDescent="0.3">
      <c r="A12" s="88"/>
      <c r="B12" s="59">
        <v>5</v>
      </c>
      <c r="C12" s="84" t="s">
        <v>9</v>
      </c>
      <c r="D12" s="85"/>
      <c r="E12" s="4">
        <f>IFERROR(VLOOKUP(C12,Tabla1[],2,FALSE),"")</f>
        <v>3</v>
      </c>
      <c r="F12" s="63"/>
      <c r="G12" s="7">
        <f>IFERROR(VLOOKUP(C12,Tabla1[],3,FALSE),"")</f>
        <v>0.1</v>
      </c>
      <c r="H12" s="18" t="str">
        <f t="shared" si="0"/>
        <v/>
      </c>
      <c r="I12" s="11">
        <f t="shared" si="1"/>
        <v>15</v>
      </c>
      <c r="J12" s="88"/>
    </row>
    <row r="13" spans="1:10" x14ac:dyDescent="0.3">
      <c r="A13" s="88"/>
      <c r="B13" s="58"/>
      <c r="C13" s="82"/>
      <c r="D13" s="83"/>
      <c r="E13" s="26" t="str">
        <f>IFERROR(VLOOKUP(C13,Tabla1[],2,FALSE),"")</f>
        <v/>
      </c>
      <c r="F13" s="62"/>
      <c r="G13" s="27" t="str">
        <f>IFERROR(VLOOKUP(C13,Tabla1[],3,FALSE),"")</f>
        <v/>
      </c>
      <c r="H13" s="28" t="str">
        <f t="shared" si="0"/>
        <v/>
      </c>
      <c r="I13" s="29" t="str">
        <f t="shared" si="1"/>
        <v/>
      </c>
      <c r="J13" s="88"/>
    </row>
    <row r="14" spans="1:10" x14ac:dyDescent="0.3">
      <c r="A14" s="88"/>
      <c r="B14" s="59"/>
      <c r="C14" s="84"/>
      <c r="D14" s="85"/>
      <c r="E14" s="4" t="str">
        <f>IFERROR(VLOOKUP(C14,Tabla1[],2,FALSE),"")</f>
        <v/>
      </c>
      <c r="F14" s="63"/>
      <c r="G14" s="7" t="str">
        <f>IFERROR(VLOOKUP(C14,Tabla1[],3,FALSE),"")</f>
        <v/>
      </c>
      <c r="H14" s="18" t="str">
        <f t="shared" si="0"/>
        <v/>
      </c>
      <c r="I14" s="11" t="str">
        <f t="shared" si="1"/>
        <v/>
      </c>
      <c r="J14" s="88"/>
    </row>
    <row r="15" spans="1:10" x14ac:dyDescent="0.3">
      <c r="A15" s="88"/>
      <c r="B15" s="58"/>
      <c r="C15" s="82"/>
      <c r="D15" s="83"/>
      <c r="E15" s="26" t="str">
        <f>IFERROR(VLOOKUP(C15,Tabla1[],2,FALSE),"")</f>
        <v/>
      </c>
      <c r="F15" s="62"/>
      <c r="G15" s="27" t="str">
        <f>IFERROR(VLOOKUP(C15,Tabla1[],3,FALSE),"")</f>
        <v/>
      </c>
      <c r="H15" s="28" t="str">
        <f t="shared" si="0"/>
        <v/>
      </c>
      <c r="I15" s="29" t="str">
        <f t="shared" si="1"/>
        <v/>
      </c>
      <c r="J15" s="88"/>
    </row>
    <row r="16" spans="1:10" x14ac:dyDescent="0.3">
      <c r="A16" s="88"/>
      <c r="B16" s="59"/>
      <c r="C16" s="84"/>
      <c r="D16" s="85"/>
      <c r="E16" s="4" t="str">
        <f>IFERROR(VLOOKUP(C16,Tabla1[],2,FALSE),"")</f>
        <v/>
      </c>
      <c r="F16" s="63"/>
      <c r="G16" s="7" t="str">
        <f>IFERROR(VLOOKUP(C16,Tabla1[],3,FALSE),"")</f>
        <v/>
      </c>
      <c r="H16" s="18" t="str">
        <f t="shared" si="0"/>
        <v/>
      </c>
      <c r="I16" s="11" t="str">
        <f t="shared" si="1"/>
        <v/>
      </c>
      <c r="J16" s="88"/>
    </row>
    <row r="17" spans="1:10" x14ac:dyDescent="0.3">
      <c r="A17" s="88"/>
      <c r="B17" s="58"/>
      <c r="C17" s="82"/>
      <c r="D17" s="83"/>
      <c r="E17" s="26" t="str">
        <f>IFERROR(VLOOKUP(C17,Tabla1[],2,FALSE),"")</f>
        <v/>
      </c>
      <c r="F17" s="62"/>
      <c r="G17" s="27" t="str">
        <f>IFERROR(VLOOKUP(C17,Tabla1[],3,FALSE),"")</f>
        <v/>
      </c>
      <c r="H17" s="28" t="str">
        <f t="shared" si="0"/>
        <v/>
      </c>
      <c r="I17" s="29" t="str">
        <f t="shared" si="1"/>
        <v/>
      </c>
      <c r="J17" s="88"/>
    </row>
    <row r="18" spans="1:10" x14ac:dyDescent="0.3">
      <c r="A18" s="88"/>
      <c r="B18" s="59"/>
      <c r="C18" s="84"/>
      <c r="D18" s="85"/>
      <c r="E18" s="4" t="str">
        <f>IFERROR(VLOOKUP(C18,Tabla1[],2,FALSE),"")</f>
        <v/>
      </c>
      <c r="F18" s="63"/>
      <c r="G18" s="7" t="str">
        <f>IFERROR(VLOOKUP(C18,Tabla1[],3,FALSE),"")</f>
        <v/>
      </c>
      <c r="H18" s="18" t="str">
        <f t="shared" si="0"/>
        <v/>
      </c>
      <c r="I18" s="11" t="str">
        <f t="shared" si="1"/>
        <v/>
      </c>
      <c r="J18" s="88"/>
    </row>
    <row r="19" spans="1:10" x14ac:dyDescent="0.3">
      <c r="A19" s="88"/>
      <c r="B19" s="58"/>
      <c r="C19" s="82"/>
      <c r="D19" s="83"/>
      <c r="E19" s="26" t="str">
        <f>IFERROR(VLOOKUP(C19,Tabla1[],2,FALSE),"")</f>
        <v/>
      </c>
      <c r="F19" s="62"/>
      <c r="G19" s="27" t="str">
        <f>IFERROR(VLOOKUP(C19,Tabla1[],3,FALSE),"")</f>
        <v/>
      </c>
      <c r="H19" s="28" t="str">
        <f t="shared" si="0"/>
        <v/>
      </c>
      <c r="I19" s="29" t="str">
        <f t="shared" si="1"/>
        <v/>
      </c>
      <c r="J19" s="88"/>
    </row>
    <row r="20" spans="1:10" x14ac:dyDescent="0.3">
      <c r="A20" s="88"/>
      <c r="B20" s="59"/>
      <c r="C20" s="84"/>
      <c r="D20" s="85"/>
      <c r="E20" s="4" t="str">
        <f>IFERROR(VLOOKUP(C20,Tabla1[],2,FALSE),"")</f>
        <v/>
      </c>
      <c r="F20" s="63"/>
      <c r="G20" s="7" t="str">
        <f>IFERROR(VLOOKUP(C20,Tabla1[],3,FALSE),"")</f>
        <v/>
      </c>
      <c r="H20" s="18" t="str">
        <f t="shared" si="0"/>
        <v/>
      </c>
      <c r="I20" s="11" t="str">
        <f t="shared" si="1"/>
        <v/>
      </c>
      <c r="J20" s="88"/>
    </row>
    <row r="21" spans="1:10" x14ac:dyDescent="0.3">
      <c r="A21" s="88"/>
      <c r="B21" s="58"/>
      <c r="C21" s="82"/>
      <c r="D21" s="83"/>
      <c r="E21" s="26" t="str">
        <f>IFERROR(VLOOKUP(C21,Tabla1[],2,FALSE),"")</f>
        <v/>
      </c>
      <c r="F21" s="62"/>
      <c r="G21" s="27" t="str">
        <f>IFERROR(VLOOKUP(C21,Tabla1[],3,FALSE),"")</f>
        <v/>
      </c>
      <c r="H21" s="28" t="str">
        <f t="shared" si="0"/>
        <v/>
      </c>
      <c r="I21" s="29" t="str">
        <f t="shared" si="1"/>
        <v/>
      </c>
      <c r="J21" s="88"/>
    </row>
    <row r="22" spans="1:10" x14ac:dyDescent="0.3">
      <c r="A22" s="88"/>
      <c r="B22" s="59"/>
      <c r="C22" s="84"/>
      <c r="D22" s="85"/>
      <c r="E22" s="4" t="str">
        <f>IFERROR(VLOOKUP(C22,Tabla1[],2,FALSE),"")</f>
        <v/>
      </c>
      <c r="F22" s="63"/>
      <c r="G22" s="7" t="str">
        <f>IFERROR(VLOOKUP(C22,Tabla1[],3,FALSE),"")</f>
        <v/>
      </c>
      <c r="H22" s="18" t="str">
        <f t="shared" si="0"/>
        <v/>
      </c>
      <c r="I22" s="11" t="str">
        <f t="shared" si="1"/>
        <v/>
      </c>
      <c r="J22" s="88"/>
    </row>
    <row r="23" spans="1:10" x14ac:dyDescent="0.3">
      <c r="A23" s="88"/>
      <c r="B23" s="58"/>
      <c r="C23" s="82"/>
      <c r="D23" s="83"/>
      <c r="E23" s="26" t="str">
        <f>IFERROR(VLOOKUP(C23,Tabla1[],2,FALSE),"")</f>
        <v/>
      </c>
      <c r="F23" s="62"/>
      <c r="G23" s="27" t="str">
        <f>IFERROR(VLOOKUP(C23,Tabla1[],3,FALSE),"")</f>
        <v/>
      </c>
      <c r="H23" s="28" t="str">
        <f t="shared" si="0"/>
        <v/>
      </c>
      <c r="I23" s="29" t="str">
        <f t="shared" si="1"/>
        <v/>
      </c>
      <c r="J23" s="88"/>
    </row>
    <row r="24" spans="1:10" x14ac:dyDescent="0.3">
      <c r="A24" s="88"/>
      <c r="B24" s="59"/>
      <c r="C24" s="84"/>
      <c r="D24" s="85"/>
      <c r="E24" s="4" t="str">
        <f>IFERROR(VLOOKUP(C24,Tabla1[],2,FALSE),"")</f>
        <v/>
      </c>
      <c r="F24" s="63"/>
      <c r="G24" s="7" t="str">
        <f>IFERROR(VLOOKUP(C24,Tabla1[],3,FALSE),"")</f>
        <v/>
      </c>
      <c r="H24" s="18" t="str">
        <f t="shared" si="0"/>
        <v/>
      </c>
      <c r="I24" s="11" t="str">
        <f t="shared" si="1"/>
        <v/>
      </c>
      <c r="J24" s="88"/>
    </row>
    <row r="25" spans="1:10" x14ac:dyDescent="0.3">
      <c r="A25" s="88"/>
      <c r="B25" s="58"/>
      <c r="C25" s="82"/>
      <c r="D25" s="83"/>
      <c r="E25" s="26" t="str">
        <f>IFERROR(VLOOKUP(C25,Tabla1[],2,FALSE),"")</f>
        <v/>
      </c>
      <c r="F25" s="62"/>
      <c r="G25" s="27" t="str">
        <f>IFERROR(VLOOKUP(C25,Tabla1[],3,FALSE),"")</f>
        <v/>
      </c>
      <c r="H25" s="28" t="str">
        <f t="shared" si="0"/>
        <v/>
      </c>
      <c r="I25" s="29" t="str">
        <f t="shared" si="1"/>
        <v/>
      </c>
      <c r="J25" s="88"/>
    </row>
    <row r="26" spans="1:10" x14ac:dyDescent="0.3">
      <c r="A26" s="88"/>
      <c r="B26" s="59"/>
      <c r="C26" s="84"/>
      <c r="D26" s="85"/>
      <c r="E26" s="4" t="str">
        <f>IFERROR(VLOOKUP(C26,Tabla1[],2,FALSE),"")</f>
        <v/>
      </c>
      <c r="F26" s="63"/>
      <c r="G26" s="7" t="str">
        <f>IFERROR(VLOOKUP(C26,Tabla1[],3,FALSE),"")</f>
        <v/>
      </c>
      <c r="H26" s="18" t="str">
        <f t="shared" si="0"/>
        <v/>
      </c>
      <c r="I26" s="11" t="str">
        <f t="shared" si="1"/>
        <v/>
      </c>
      <c r="J26" s="88"/>
    </row>
    <row r="27" spans="1:10" x14ac:dyDescent="0.3">
      <c r="A27" s="88"/>
      <c r="B27" s="58"/>
      <c r="C27" s="82"/>
      <c r="D27" s="83"/>
      <c r="E27" s="26" t="str">
        <f>IFERROR(VLOOKUP(C27,Tabla1[],2,FALSE),"")</f>
        <v/>
      </c>
      <c r="F27" s="62"/>
      <c r="G27" s="27" t="str">
        <f>IFERROR(VLOOKUP(C27,Tabla1[],3,FALSE),"")</f>
        <v/>
      </c>
      <c r="H27" s="28" t="str">
        <f t="shared" si="0"/>
        <v/>
      </c>
      <c r="I27" s="29" t="str">
        <f t="shared" si="1"/>
        <v/>
      </c>
      <c r="J27" s="88"/>
    </row>
    <row r="28" spans="1:10" x14ac:dyDescent="0.3">
      <c r="A28" s="88"/>
      <c r="B28" s="59"/>
      <c r="C28" s="84"/>
      <c r="D28" s="85"/>
      <c r="E28" s="4" t="str">
        <f>IFERROR(VLOOKUP(C28,Tabla1[],2,FALSE),"")</f>
        <v/>
      </c>
      <c r="F28" s="63"/>
      <c r="G28" s="7" t="str">
        <f>IFERROR(VLOOKUP(C28,Tabla1[],3,FALSE),"")</f>
        <v/>
      </c>
      <c r="H28" s="18" t="str">
        <f t="shared" si="0"/>
        <v/>
      </c>
      <c r="I28" s="11" t="str">
        <f t="shared" si="1"/>
        <v/>
      </c>
      <c r="J28" s="88"/>
    </row>
    <row r="29" spans="1:10" x14ac:dyDescent="0.3">
      <c r="A29" s="88"/>
      <c r="B29" s="58"/>
      <c r="C29" s="82"/>
      <c r="D29" s="83"/>
      <c r="E29" s="26" t="str">
        <f>IFERROR(VLOOKUP(C29,Tabla1[],2,FALSE),"")</f>
        <v/>
      </c>
      <c r="F29" s="62"/>
      <c r="G29" s="27" t="str">
        <f>IFERROR(VLOOKUP(C29,Tabla1[],3,FALSE),"")</f>
        <v/>
      </c>
      <c r="H29" s="28" t="str">
        <f t="shared" si="0"/>
        <v/>
      </c>
      <c r="I29" s="29" t="str">
        <f t="shared" si="1"/>
        <v/>
      </c>
      <c r="J29" s="88"/>
    </row>
    <row r="30" spans="1:10" x14ac:dyDescent="0.3">
      <c r="A30" s="88"/>
      <c r="B30" s="59"/>
      <c r="C30" s="84"/>
      <c r="D30" s="85"/>
      <c r="E30" s="4" t="str">
        <f>IFERROR(VLOOKUP(C30,Tabla1[],2,FALSE),"")</f>
        <v/>
      </c>
      <c r="F30" s="63"/>
      <c r="G30" s="7" t="str">
        <f>IFERROR(VLOOKUP(C30,Tabla1[],3,FALSE),"")</f>
        <v/>
      </c>
      <c r="H30" s="18" t="str">
        <f t="shared" si="0"/>
        <v/>
      </c>
      <c r="I30" s="11" t="str">
        <f t="shared" si="1"/>
        <v/>
      </c>
      <c r="J30" s="88"/>
    </row>
    <row r="31" spans="1:10" x14ac:dyDescent="0.3">
      <c r="A31" s="88"/>
      <c r="B31" s="58"/>
      <c r="C31" s="82"/>
      <c r="D31" s="83"/>
      <c r="E31" s="26" t="str">
        <f>IFERROR(VLOOKUP(C31,Tabla1[],2,FALSE),"")</f>
        <v/>
      </c>
      <c r="F31" s="62"/>
      <c r="G31" s="27" t="str">
        <f>IFERROR(VLOOKUP(C31,Tabla1[],3,FALSE),"")</f>
        <v/>
      </c>
      <c r="H31" s="28" t="str">
        <f t="shared" si="0"/>
        <v/>
      </c>
      <c r="I31" s="29" t="str">
        <f t="shared" si="1"/>
        <v/>
      </c>
      <c r="J31" s="88"/>
    </row>
    <row r="32" spans="1:10" x14ac:dyDescent="0.3">
      <c r="A32" s="88"/>
      <c r="B32" s="59"/>
      <c r="C32" s="84"/>
      <c r="D32" s="85"/>
      <c r="E32" s="4" t="str">
        <f>IFERROR(VLOOKUP(C32,Tabla1[],2,FALSE),"")</f>
        <v/>
      </c>
      <c r="F32" s="63"/>
      <c r="G32" s="7" t="str">
        <f>IFERROR(VLOOKUP(C32,Tabla1[],3,FALSE),"")</f>
        <v/>
      </c>
      <c r="H32" s="18" t="str">
        <f t="shared" si="0"/>
        <v/>
      </c>
      <c r="I32" s="11" t="str">
        <f t="shared" si="1"/>
        <v/>
      </c>
      <c r="J32" s="88"/>
    </row>
    <row r="33" spans="1:10" x14ac:dyDescent="0.3">
      <c r="A33" s="88"/>
      <c r="B33" s="58"/>
      <c r="C33" s="82"/>
      <c r="D33" s="83"/>
      <c r="E33" s="26" t="str">
        <f>IFERROR(VLOOKUP(C33,Tabla1[],2,FALSE),"")</f>
        <v/>
      </c>
      <c r="F33" s="62"/>
      <c r="G33" s="27" t="str">
        <f>IFERROR(VLOOKUP(C33,Tabla1[],3,FALSE),"")</f>
        <v/>
      </c>
      <c r="H33" s="28" t="str">
        <f t="shared" si="0"/>
        <v/>
      </c>
      <c r="I33" s="29" t="str">
        <f t="shared" si="1"/>
        <v/>
      </c>
      <c r="J33" s="88"/>
    </row>
    <row r="34" spans="1:10" ht="15" thickBot="1" x14ac:dyDescent="0.35">
      <c r="A34" s="88"/>
      <c r="B34" s="60"/>
      <c r="C34" s="103"/>
      <c r="D34" s="104"/>
      <c r="E34" s="5" t="str">
        <f>IFERROR(VLOOKUP(C34,Tabla1[],2,FALSE),"")</f>
        <v/>
      </c>
      <c r="F34" s="64"/>
      <c r="G34" s="8" t="str">
        <f>IFERROR(VLOOKUP(C34,Tabla1[],3,FALSE),"")</f>
        <v/>
      </c>
      <c r="H34" s="19" t="str">
        <f t="shared" si="0"/>
        <v/>
      </c>
      <c r="I34" s="12" t="str">
        <f t="shared" si="1"/>
        <v/>
      </c>
      <c r="J34" s="88"/>
    </row>
    <row r="35" spans="1:10" ht="28.8" customHeight="1" x14ac:dyDescent="0.3">
      <c r="A35" s="88"/>
      <c r="B35" s="41" t="s">
        <v>103</v>
      </c>
      <c r="C35" s="44">
        <f>IF(C36&gt;0,21%,"")</f>
        <v>0.21</v>
      </c>
      <c r="D35" s="45">
        <f>IF(D36&gt;0,10%,"")</f>
        <v>0.1</v>
      </c>
      <c r="E35" s="46">
        <f>IF(E36&gt;0,4%,"")</f>
        <v>0.04</v>
      </c>
      <c r="F35" s="47" t="str">
        <f>IF(F36&gt;0,5.2%,"")</f>
        <v/>
      </c>
      <c r="G35" s="48" t="str">
        <f>IF(G36&gt;0,1.4%,"")</f>
        <v/>
      </c>
      <c r="H35" s="49" t="str">
        <f>IF(H36&gt;0,0.5%,"")</f>
        <v/>
      </c>
      <c r="I35" s="50"/>
      <c r="J35" s="88"/>
    </row>
    <row r="36" spans="1:10" ht="28.8" x14ac:dyDescent="0.3">
      <c r="A36" s="88"/>
      <c r="B36" s="42" t="s">
        <v>104</v>
      </c>
      <c r="C36" s="23">
        <f>SUMIFS(I10:I34,G10:G34,21%)</f>
        <v>4.8</v>
      </c>
      <c r="D36" s="24">
        <f>SUMIFS(I10:I34,G10:G34,10%)</f>
        <v>15</v>
      </c>
      <c r="E36" s="25">
        <f>SUMIFS(I10:I34,G10:G34,4%)</f>
        <v>6.2</v>
      </c>
      <c r="F36" s="20">
        <f>SUMIFS(I10:I34,H10:H34,5.2%)</f>
        <v>0</v>
      </c>
      <c r="G36" s="21">
        <f>SUMIFS(I10:I34,H10:H34,1.4%)</f>
        <v>0</v>
      </c>
      <c r="H36" s="22">
        <f>SUMIFS(I10:I34,H10:H34,0.5%)</f>
        <v>0</v>
      </c>
      <c r="I36" s="52">
        <f>SUM(C36:E36)</f>
        <v>26</v>
      </c>
      <c r="J36" s="88"/>
    </row>
    <row r="37" spans="1:10" ht="29.4" thickBot="1" x14ac:dyDescent="0.35">
      <c r="A37" s="88"/>
      <c r="B37" s="43" t="s">
        <v>105</v>
      </c>
      <c r="C37" s="13">
        <f>IFERROR(C35*C36,"")</f>
        <v>1.008</v>
      </c>
      <c r="D37" s="14">
        <f t="shared" ref="D37:H37" si="2">IFERROR(D35*D36,"")</f>
        <v>1.5</v>
      </c>
      <c r="E37" s="15">
        <f t="shared" si="2"/>
        <v>0.24800000000000003</v>
      </c>
      <c r="F37" s="16" t="str">
        <f t="shared" si="2"/>
        <v/>
      </c>
      <c r="G37" s="14" t="str">
        <f t="shared" si="2"/>
        <v/>
      </c>
      <c r="H37" s="17" t="str">
        <f t="shared" si="2"/>
        <v/>
      </c>
      <c r="I37" s="53">
        <f>IFERROR(SUM(C37:H37),"")</f>
        <v>2.7560000000000002</v>
      </c>
      <c r="J37" s="88"/>
    </row>
    <row r="38" spans="1:10" ht="28.8" customHeight="1" thickBot="1" x14ac:dyDescent="0.35">
      <c r="A38" s="88"/>
      <c r="B38" s="90"/>
      <c r="C38" s="90"/>
      <c r="D38" s="90"/>
      <c r="E38" s="90"/>
      <c r="F38" s="90"/>
      <c r="G38" s="93" t="s">
        <v>106</v>
      </c>
      <c r="H38" s="94"/>
      <c r="I38" s="51">
        <f>I36+I37</f>
        <v>28.756</v>
      </c>
      <c r="J38" s="88"/>
    </row>
    <row r="39" spans="1:10" x14ac:dyDescent="0.3">
      <c r="A39" s="88"/>
      <c r="B39" s="88"/>
      <c r="C39" s="88"/>
      <c r="D39" s="88"/>
      <c r="E39" s="88"/>
      <c r="F39" s="88"/>
      <c r="G39" s="88"/>
      <c r="H39" s="88"/>
      <c r="I39" s="88"/>
      <c r="J39" s="88"/>
    </row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</sheetData>
  <mergeCells count="43">
    <mergeCell ref="C34:D34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9:D9"/>
    <mergeCell ref="A39:J39"/>
    <mergeCell ref="J1:J38"/>
    <mergeCell ref="B1:I1"/>
    <mergeCell ref="A1:A38"/>
    <mergeCell ref="B38:F38"/>
    <mergeCell ref="C10:D10"/>
    <mergeCell ref="C11:D11"/>
    <mergeCell ref="C12:D12"/>
    <mergeCell ref="G38:H38"/>
    <mergeCell ref="B7:C8"/>
    <mergeCell ref="D7:D8"/>
    <mergeCell ref="F7:F8"/>
    <mergeCell ref="G7:G8"/>
    <mergeCell ref="C17:D17"/>
    <mergeCell ref="C18:D18"/>
    <mergeCell ref="C13:D13"/>
    <mergeCell ref="C14:D14"/>
    <mergeCell ref="C15:D15"/>
    <mergeCell ref="C16:D16"/>
    <mergeCell ref="C22:D22"/>
    <mergeCell ref="C19:D19"/>
    <mergeCell ref="C20:D20"/>
    <mergeCell ref="C21:D21"/>
    <mergeCell ref="G2:I2"/>
    <mergeCell ref="F3:I3"/>
    <mergeCell ref="F4:I4"/>
    <mergeCell ref="G5:I5"/>
    <mergeCell ref="H7:H8"/>
    <mergeCell ref="I7:I8"/>
    <mergeCell ref="F6:I6"/>
  </mergeCells>
  <dataValidations count="1">
    <dataValidation type="list" allowBlank="1" showInputMessage="1" showErrorMessage="1" sqref="F10:F34" xr:uid="{044C4910-ACB8-46B9-9B5D-CD1605DCE116}">
      <formula1>"0,5%,10%,15%,20%"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Option Button 3">
              <controlPr defaultSize="0" autoFill="0" autoLine="0" autoPict="0">
                <anchor moveWithCells="1">
                  <from>
                    <xdr:col>6</xdr:col>
                    <xdr:colOff>175260</xdr:colOff>
                    <xdr:row>6</xdr:row>
                    <xdr:rowOff>76200</xdr:rowOff>
                  </from>
                  <to>
                    <xdr:col>6</xdr:col>
                    <xdr:colOff>640080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7</xdr:col>
                    <xdr:colOff>190500</xdr:colOff>
                    <xdr:row>6</xdr:row>
                    <xdr:rowOff>76200</xdr:rowOff>
                  </from>
                  <to>
                    <xdr:col>7</xdr:col>
                    <xdr:colOff>655320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Reiniciar_Factura">
                <anchor moveWithCells="1" sizeWithCells="1">
                  <from>
                    <xdr:col>3</xdr:col>
                    <xdr:colOff>15240</xdr:colOff>
                    <xdr:row>37</xdr:row>
                    <xdr:rowOff>53340</xdr:rowOff>
                  </from>
                  <to>
                    <xdr:col>5</xdr:col>
                    <xdr:colOff>7620</xdr:colOff>
                    <xdr:row>37</xdr:row>
                    <xdr:rowOff>320040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14A32C-CA0F-4DDD-806C-02915D9CD0E8}">
          <x14:formula1>
            <xm:f>Productos!$A$2:$A$101</xm:f>
          </x14:formula1>
          <xm:sqref>C10:D34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68697-0480-4B17-8D06-6FC34DED28BE}">
  <sheetPr codeName="Hoja2">
    <tabColor rgb="FF00B0F0"/>
  </sheetPr>
  <dimension ref="A1:C101"/>
  <sheetViews>
    <sheetView workbookViewId="0">
      <selection activeCell="D102" sqref="D102"/>
    </sheetView>
  </sheetViews>
  <sheetFormatPr baseColWidth="10" defaultRowHeight="14.4" x14ac:dyDescent="0.3"/>
  <cols>
    <col min="1" max="1" width="17.6640625" bestFit="1" customWidth="1"/>
    <col min="2" max="2" width="15.10937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s="1">
        <v>0.8</v>
      </c>
      <c r="C2" s="2">
        <v>0.21</v>
      </c>
    </row>
    <row r="3" spans="1:3" x14ac:dyDescent="0.3">
      <c r="A3" t="s">
        <v>4</v>
      </c>
      <c r="B3" s="1">
        <v>2</v>
      </c>
      <c r="C3" s="2">
        <v>0.1</v>
      </c>
    </row>
    <row r="4" spans="1:3" x14ac:dyDescent="0.3">
      <c r="A4" t="s">
        <v>5</v>
      </c>
      <c r="B4" s="1">
        <v>1.7</v>
      </c>
      <c r="C4" s="2">
        <v>0.04</v>
      </c>
    </row>
    <row r="5" spans="1:3" x14ac:dyDescent="0.3">
      <c r="A5" t="s">
        <v>6</v>
      </c>
      <c r="B5" s="1">
        <v>1</v>
      </c>
      <c r="C5" s="2">
        <v>0.04</v>
      </c>
    </row>
    <row r="6" spans="1:3" x14ac:dyDescent="0.3">
      <c r="A6" t="s">
        <v>50</v>
      </c>
      <c r="B6" s="1">
        <v>1.2</v>
      </c>
      <c r="C6" s="2">
        <v>0.1</v>
      </c>
    </row>
    <row r="7" spans="1:3" x14ac:dyDescent="0.3">
      <c r="A7" t="s">
        <v>7</v>
      </c>
      <c r="B7" s="1">
        <v>1.2</v>
      </c>
      <c r="C7" s="2">
        <v>0.21</v>
      </c>
    </row>
    <row r="8" spans="1:3" x14ac:dyDescent="0.3">
      <c r="A8" t="s">
        <v>8</v>
      </c>
      <c r="B8" s="1">
        <v>2.1</v>
      </c>
      <c r="C8" s="2">
        <v>0.21</v>
      </c>
    </row>
    <row r="9" spans="1:3" x14ac:dyDescent="0.3">
      <c r="A9" t="s">
        <v>9</v>
      </c>
      <c r="B9" s="1">
        <v>3</v>
      </c>
      <c r="C9" s="2">
        <v>0.1</v>
      </c>
    </row>
    <row r="10" spans="1:3" x14ac:dyDescent="0.3">
      <c r="A10" t="s">
        <v>10</v>
      </c>
      <c r="B10" s="1">
        <v>2.4</v>
      </c>
      <c r="C10" s="2">
        <v>0.04</v>
      </c>
    </row>
    <row r="11" spans="1:3" x14ac:dyDescent="0.3">
      <c r="A11" t="s">
        <v>11</v>
      </c>
      <c r="B11" s="1">
        <v>1.5</v>
      </c>
      <c r="C11" s="2">
        <v>0.21</v>
      </c>
    </row>
    <row r="12" spans="1:3" x14ac:dyDescent="0.3">
      <c r="A12" t="s">
        <v>12</v>
      </c>
      <c r="B12" s="1">
        <v>3</v>
      </c>
      <c r="C12" s="2">
        <v>0.1</v>
      </c>
    </row>
    <row r="13" spans="1:3" x14ac:dyDescent="0.3">
      <c r="A13" t="s">
        <v>13</v>
      </c>
      <c r="B13" s="1">
        <v>2.4</v>
      </c>
      <c r="C13" s="2">
        <v>0.1</v>
      </c>
    </row>
    <row r="14" spans="1:3" x14ac:dyDescent="0.3">
      <c r="A14" t="s">
        <v>14</v>
      </c>
      <c r="B14" s="1">
        <v>3.1</v>
      </c>
      <c r="C14" s="2">
        <v>0.04</v>
      </c>
    </row>
    <row r="15" spans="1:3" x14ac:dyDescent="0.3">
      <c r="A15" t="s">
        <v>15</v>
      </c>
      <c r="B15" s="1">
        <v>2.8</v>
      </c>
      <c r="C15" s="2">
        <v>0.04</v>
      </c>
    </row>
    <row r="16" spans="1:3" x14ac:dyDescent="0.3">
      <c r="A16" t="s">
        <v>16</v>
      </c>
      <c r="B16" s="1">
        <v>3.1</v>
      </c>
      <c r="C16" s="2">
        <v>0.04</v>
      </c>
    </row>
    <row r="17" spans="1:3" x14ac:dyDescent="0.3">
      <c r="A17" t="s">
        <v>17</v>
      </c>
      <c r="B17" s="1">
        <v>3.9</v>
      </c>
      <c r="C17" s="2">
        <v>0.21</v>
      </c>
    </row>
    <row r="18" spans="1:3" x14ac:dyDescent="0.3">
      <c r="A18" t="s">
        <v>18</v>
      </c>
      <c r="B18" s="1">
        <v>4.0999999999999996</v>
      </c>
      <c r="C18" s="2">
        <v>0.1</v>
      </c>
    </row>
    <row r="19" spans="1:3" x14ac:dyDescent="0.3">
      <c r="A19" t="s">
        <v>19</v>
      </c>
      <c r="B19" s="1">
        <v>3.8</v>
      </c>
      <c r="C19" s="2">
        <v>0.1</v>
      </c>
    </row>
    <row r="20" spans="1:3" x14ac:dyDescent="0.3">
      <c r="A20" t="s">
        <v>20</v>
      </c>
      <c r="B20" s="1">
        <v>3.5</v>
      </c>
      <c r="C20" s="2">
        <v>0.1</v>
      </c>
    </row>
    <row r="21" spans="1:3" x14ac:dyDescent="0.3">
      <c r="A21" t="s">
        <v>21</v>
      </c>
      <c r="B21" s="1">
        <v>8.5</v>
      </c>
      <c r="C21" s="2">
        <v>0.21</v>
      </c>
    </row>
    <row r="22" spans="1:3" x14ac:dyDescent="0.3">
      <c r="A22" t="s">
        <v>22</v>
      </c>
      <c r="B22" s="1">
        <v>6.9</v>
      </c>
      <c r="C22" s="2">
        <v>0.21</v>
      </c>
    </row>
    <row r="23" spans="1:3" x14ac:dyDescent="0.3">
      <c r="A23" t="s">
        <v>23</v>
      </c>
      <c r="B23" s="1">
        <v>2.9</v>
      </c>
      <c r="C23" s="2">
        <v>0.1</v>
      </c>
    </row>
    <row r="24" spans="1:3" x14ac:dyDescent="0.3">
      <c r="A24" t="s">
        <v>24</v>
      </c>
      <c r="B24" s="1">
        <v>5.6</v>
      </c>
      <c r="C24" s="2">
        <v>0.04</v>
      </c>
    </row>
    <row r="25" spans="1:3" x14ac:dyDescent="0.3">
      <c r="A25" t="s">
        <v>25</v>
      </c>
      <c r="B25" s="1">
        <v>7.1</v>
      </c>
      <c r="C25" s="2">
        <v>0.04</v>
      </c>
    </row>
    <row r="26" spans="1:3" x14ac:dyDescent="0.3">
      <c r="A26" t="s">
        <v>26</v>
      </c>
      <c r="B26" s="1">
        <v>6.2</v>
      </c>
      <c r="C26" s="2">
        <v>0.1</v>
      </c>
    </row>
    <row r="27" spans="1:3" x14ac:dyDescent="0.3">
      <c r="A27" t="s">
        <v>27</v>
      </c>
      <c r="B27" s="1">
        <v>3.3</v>
      </c>
      <c r="C27" s="2">
        <v>0.21</v>
      </c>
    </row>
    <row r="28" spans="1:3" x14ac:dyDescent="0.3">
      <c r="A28" t="s">
        <v>28</v>
      </c>
      <c r="B28" s="1">
        <v>11.5</v>
      </c>
      <c r="C28" s="2">
        <v>0.1</v>
      </c>
    </row>
    <row r="29" spans="1:3" x14ac:dyDescent="0.3">
      <c r="A29" t="s">
        <v>29</v>
      </c>
      <c r="B29" s="1">
        <v>7.6</v>
      </c>
      <c r="C29" s="2">
        <v>0.04</v>
      </c>
    </row>
    <row r="30" spans="1:3" x14ac:dyDescent="0.3">
      <c r="A30" t="s">
        <v>30</v>
      </c>
      <c r="B30" s="1">
        <v>9.8000000000000007</v>
      </c>
      <c r="C30" s="2">
        <v>0.1</v>
      </c>
    </row>
    <row r="31" spans="1:3" x14ac:dyDescent="0.3">
      <c r="A31" t="s">
        <v>31</v>
      </c>
      <c r="B31" s="1">
        <v>7.2</v>
      </c>
      <c r="C31" s="2">
        <v>0.21</v>
      </c>
    </row>
    <row r="32" spans="1:3" x14ac:dyDescent="0.3">
      <c r="A32" t="s">
        <v>32</v>
      </c>
      <c r="B32" s="1">
        <v>5.0999999999999996</v>
      </c>
      <c r="C32" s="2">
        <v>0.21</v>
      </c>
    </row>
    <row r="33" spans="1:3" x14ac:dyDescent="0.3">
      <c r="A33" t="s">
        <v>33</v>
      </c>
      <c r="B33" s="1">
        <v>1.8</v>
      </c>
      <c r="C33" s="2">
        <v>0.04</v>
      </c>
    </row>
    <row r="34" spans="1:3" x14ac:dyDescent="0.3">
      <c r="A34" t="s">
        <v>34</v>
      </c>
      <c r="B34" s="1">
        <v>1.2</v>
      </c>
      <c r="C34" s="2">
        <v>0.1</v>
      </c>
    </row>
    <row r="35" spans="1:3" x14ac:dyDescent="0.3">
      <c r="A35" t="s">
        <v>35</v>
      </c>
      <c r="B35" s="1">
        <v>3.2</v>
      </c>
      <c r="C35" s="2">
        <v>0.1</v>
      </c>
    </row>
    <row r="36" spans="1:3" x14ac:dyDescent="0.3">
      <c r="A36" t="s">
        <v>101</v>
      </c>
      <c r="B36" s="1">
        <v>2.1</v>
      </c>
      <c r="C36" s="2">
        <v>0.04</v>
      </c>
    </row>
    <row r="37" spans="1:3" x14ac:dyDescent="0.3">
      <c r="A37" t="s">
        <v>36</v>
      </c>
      <c r="B37" s="1">
        <v>1.6</v>
      </c>
      <c r="C37" s="2">
        <v>0.04</v>
      </c>
    </row>
    <row r="38" spans="1:3" x14ac:dyDescent="0.3">
      <c r="A38" t="s">
        <v>37</v>
      </c>
      <c r="B38" s="1">
        <v>1.5</v>
      </c>
      <c r="C38" s="2">
        <v>0.21</v>
      </c>
    </row>
    <row r="39" spans="1:3" x14ac:dyDescent="0.3">
      <c r="A39" t="s">
        <v>38</v>
      </c>
      <c r="B39" s="1">
        <v>1.6</v>
      </c>
      <c r="C39" s="2">
        <v>0.21</v>
      </c>
    </row>
    <row r="40" spans="1:3" x14ac:dyDescent="0.3">
      <c r="A40" t="s">
        <v>39</v>
      </c>
      <c r="B40" s="1">
        <v>3.4</v>
      </c>
      <c r="C40" s="2">
        <v>0.04</v>
      </c>
    </row>
    <row r="41" spans="1:3" x14ac:dyDescent="0.3">
      <c r="A41" t="s">
        <v>40</v>
      </c>
      <c r="B41" s="1">
        <v>4.5</v>
      </c>
      <c r="C41" s="2">
        <v>0.1</v>
      </c>
    </row>
    <row r="42" spans="1:3" x14ac:dyDescent="0.3">
      <c r="A42" t="s">
        <v>41</v>
      </c>
      <c r="B42" s="1">
        <v>1.1000000000000001</v>
      </c>
      <c r="C42" s="2">
        <v>0.04</v>
      </c>
    </row>
    <row r="43" spans="1:3" x14ac:dyDescent="0.3">
      <c r="A43" t="s">
        <v>42</v>
      </c>
      <c r="B43" s="1">
        <v>3.2</v>
      </c>
      <c r="C43" s="2">
        <v>0.1</v>
      </c>
    </row>
    <row r="44" spans="1:3" x14ac:dyDescent="0.3">
      <c r="A44" t="s">
        <v>43</v>
      </c>
      <c r="B44" s="1">
        <v>1.2</v>
      </c>
      <c r="C44" s="2">
        <v>0.21</v>
      </c>
    </row>
    <row r="45" spans="1:3" x14ac:dyDescent="0.3">
      <c r="A45" t="s">
        <v>44</v>
      </c>
      <c r="B45" s="1">
        <v>1.5</v>
      </c>
      <c r="C45" s="2">
        <v>0.21</v>
      </c>
    </row>
    <row r="46" spans="1:3" x14ac:dyDescent="0.3">
      <c r="A46" t="s">
        <v>45</v>
      </c>
      <c r="B46" s="1">
        <v>2</v>
      </c>
      <c r="C46" s="2">
        <v>0.21</v>
      </c>
    </row>
    <row r="47" spans="1:3" x14ac:dyDescent="0.3">
      <c r="A47" t="s">
        <v>46</v>
      </c>
      <c r="B47" s="1">
        <v>2.1</v>
      </c>
      <c r="C47" s="2">
        <v>0.04</v>
      </c>
    </row>
    <row r="48" spans="1:3" x14ac:dyDescent="0.3">
      <c r="A48" t="s">
        <v>47</v>
      </c>
      <c r="B48" s="1">
        <v>1.8</v>
      </c>
      <c r="C48" s="2">
        <v>0.1</v>
      </c>
    </row>
    <row r="49" spans="1:3" x14ac:dyDescent="0.3">
      <c r="A49" t="s">
        <v>48</v>
      </c>
      <c r="B49" s="1">
        <v>2.2999999999999998</v>
      </c>
      <c r="C49" s="2">
        <v>0.21</v>
      </c>
    </row>
    <row r="50" spans="1:3" x14ac:dyDescent="0.3">
      <c r="A50" t="s">
        <v>49</v>
      </c>
      <c r="B50" s="1">
        <v>3</v>
      </c>
      <c r="C50" s="2">
        <v>0.21</v>
      </c>
    </row>
    <row r="51" spans="1:3" x14ac:dyDescent="0.3">
      <c r="A51" t="s">
        <v>51</v>
      </c>
      <c r="B51" s="1">
        <v>1.5</v>
      </c>
      <c r="C51" s="2">
        <v>0.1</v>
      </c>
    </row>
    <row r="52" spans="1:3" x14ac:dyDescent="0.3">
      <c r="A52" t="s">
        <v>52</v>
      </c>
      <c r="B52" s="1">
        <v>2.1</v>
      </c>
      <c r="C52" s="2">
        <v>0.04</v>
      </c>
    </row>
    <row r="53" spans="1:3" x14ac:dyDescent="0.3">
      <c r="A53" t="s">
        <v>53</v>
      </c>
      <c r="B53" s="1">
        <v>6.1</v>
      </c>
      <c r="C53" s="2">
        <v>0.21</v>
      </c>
    </row>
    <row r="54" spans="1:3" x14ac:dyDescent="0.3">
      <c r="A54" t="s">
        <v>54</v>
      </c>
      <c r="B54" s="1">
        <v>2.7</v>
      </c>
      <c r="C54" s="2">
        <v>0.04</v>
      </c>
    </row>
    <row r="55" spans="1:3" x14ac:dyDescent="0.3">
      <c r="A55" t="s">
        <v>55</v>
      </c>
      <c r="B55" s="1">
        <v>3.6</v>
      </c>
      <c r="C55" s="2">
        <v>0.21</v>
      </c>
    </row>
    <row r="56" spans="1:3" x14ac:dyDescent="0.3">
      <c r="A56" t="s">
        <v>56</v>
      </c>
      <c r="B56" s="1">
        <v>2.5</v>
      </c>
      <c r="C56" s="2">
        <v>0.04</v>
      </c>
    </row>
    <row r="57" spans="1:3" x14ac:dyDescent="0.3">
      <c r="A57" t="s">
        <v>57</v>
      </c>
      <c r="B57" s="1">
        <v>2.6</v>
      </c>
      <c r="C57" s="2">
        <v>0.1</v>
      </c>
    </row>
    <row r="58" spans="1:3" x14ac:dyDescent="0.3">
      <c r="A58" t="s">
        <v>58</v>
      </c>
      <c r="B58" s="1">
        <v>2.2000000000000002</v>
      </c>
      <c r="C58" s="2">
        <v>0.21</v>
      </c>
    </row>
    <row r="59" spans="1:3" x14ac:dyDescent="0.3">
      <c r="A59" t="s">
        <v>59</v>
      </c>
      <c r="B59" s="1">
        <v>1.8</v>
      </c>
      <c r="C59" s="2">
        <v>0.1</v>
      </c>
    </row>
    <row r="60" spans="1:3" x14ac:dyDescent="0.3">
      <c r="A60" t="s">
        <v>60</v>
      </c>
      <c r="B60" s="1">
        <v>3.8</v>
      </c>
      <c r="C60" s="2">
        <v>0.1</v>
      </c>
    </row>
    <row r="61" spans="1:3" x14ac:dyDescent="0.3">
      <c r="A61" t="s">
        <v>61</v>
      </c>
      <c r="B61" s="1">
        <v>7.9</v>
      </c>
      <c r="C61" s="2">
        <v>0.04</v>
      </c>
    </row>
    <row r="62" spans="1:3" x14ac:dyDescent="0.3">
      <c r="A62" t="s">
        <v>62</v>
      </c>
      <c r="B62" s="1">
        <v>4</v>
      </c>
      <c r="C62" s="2">
        <v>0.21</v>
      </c>
    </row>
    <row r="63" spans="1:3" x14ac:dyDescent="0.3">
      <c r="A63" t="s">
        <v>63</v>
      </c>
      <c r="B63" s="1">
        <v>3.2</v>
      </c>
      <c r="C63" s="2">
        <v>0.21</v>
      </c>
    </row>
    <row r="64" spans="1:3" x14ac:dyDescent="0.3">
      <c r="A64" t="s">
        <v>64</v>
      </c>
      <c r="B64" s="1">
        <v>5.0999999999999996</v>
      </c>
      <c r="C64" s="2">
        <v>0.04</v>
      </c>
    </row>
    <row r="65" spans="1:3" x14ac:dyDescent="0.3">
      <c r="A65" t="s">
        <v>65</v>
      </c>
      <c r="B65" s="1">
        <v>12</v>
      </c>
      <c r="C65" s="2">
        <v>0.1</v>
      </c>
    </row>
    <row r="66" spans="1:3" x14ac:dyDescent="0.3">
      <c r="A66" t="s">
        <v>66</v>
      </c>
      <c r="B66" s="1">
        <v>11.5</v>
      </c>
      <c r="C66" s="2">
        <v>0.21</v>
      </c>
    </row>
    <row r="67" spans="1:3" x14ac:dyDescent="0.3">
      <c r="A67" t="s">
        <v>67</v>
      </c>
      <c r="B67" s="1">
        <v>10</v>
      </c>
      <c r="C67" s="2">
        <v>0.21</v>
      </c>
    </row>
    <row r="68" spans="1:3" x14ac:dyDescent="0.3">
      <c r="A68" t="s">
        <v>68</v>
      </c>
      <c r="B68" s="1">
        <v>6.5</v>
      </c>
      <c r="C68" s="2">
        <v>0.04</v>
      </c>
    </row>
    <row r="69" spans="1:3" x14ac:dyDescent="0.3">
      <c r="A69" t="s">
        <v>69</v>
      </c>
      <c r="B69" s="1">
        <v>15</v>
      </c>
      <c r="C69" s="2">
        <v>0.04</v>
      </c>
    </row>
    <row r="70" spans="1:3" x14ac:dyDescent="0.3">
      <c r="A70" t="s">
        <v>70</v>
      </c>
      <c r="B70" s="1">
        <v>7.2</v>
      </c>
      <c r="C70" s="2">
        <v>0.04</v>
      </c>
    </row>
    <row r="71" spans="1:3" x14ac:dyDescent="0.3">
      <c r="A71" t="s">
        <v>98</v>
      </c>
      <c r="B71" s="1">
        <v>3.5</v>
      </c>
      <c r="C71" s="2">
        <v>0.21</v>
      </c>
    </row>
    <row r="72" spans="1:3" x14ac:dyDescent="0.3">
      <c r="A72" t="s">
        <v>71</v>
      </c>
      <c r="B72" s="1">
        <v>0.8</v>
      </c>
      <c r="C72" s="2">
        <v>0.04</v>
      </c>
    </row>
    <row r="73" spans="1:3" x14ac:dyDescent="0.3">
      <c r="A73" t="s">
        <v>72</v>
      </c>
      <c r="B73" s="1">
        <v>2.2000000000000002</v>
      </c>
      <c r="C73" s="2">
        <v>0.1</v>
      </c>
    </row>
    <row r="74" spans="1:3" x14ac:dyDescent="0.3">
      <c r="A74" t="s">
        <v>102</v>
      </c>
      <c r="B74" s="1">
        <v>3.5</v>
      </c>
      <c r="C74" s="2">
        <v>0.21</v>
      </c>
    </row>
    <row r="75" spans="1:3" x14ac:dyDescent="0.3">
      <c r="A75" t="s">
        <v>73</v>
      </c>
      <c r="B75" s="1">
        <v>2.5</v>
      </c>
      <c r="C75" s="2">
        <v>0.1</v>
      </c>
    </row>
    <row r="76" spans="1:3" x14ac:dyDescent="0.3">
      <c r="A76" t="s">
        <v>74</v>
      </c>
      <c r="B76" s="1">
        <v>1.7</v>
      </c>
      <c r="C76" s="2">
        <v>0.1</v>
      </c>
    </row>
    <row r="77" spans="1:3" x14ac:dyDescent="0.3">
      <c r="A77" t="s">
        <v>75</v>
      </c>
      <c r="B77" s="1">
        <v>7.6</v>
      </c>
      <c r="C77" s="2">
        <v>0.04</v>
      </c>
    </row>
    <row r="78" spans="1:3" x14ac:dyDescent="0.3">
      <c r="A78" t="s">
        <v>76</v>
      </c>
      <c r="B78" s="1">
        <v>0.8</v>
      </c>
      <c r="C78" s="2">
        <v>0.21</v>
      </c>
    </row>
    <row r="79" spans="1:3" x14ac:dyDescent="0.3">
      <c r="A79" t="s">
        <v>77</v>
      </c>
      <c r="B79" s="1">
        <v>1.1000000000000001</v>
      </c>
      <c r="C79" s="2">
        <v>0.21</v>
      </c>
    </row>
    <row r="80" spans="1:3" x14ac:dyDescent="0.3">
      <c r="A80" t="s">
        <v>78</v>
      </c>
      <c r="B80" s="1">
        <v>0.9</v>
      </c>
      <c r="C80" s="2">
        <v>0.04</v>
      </c>
    </row>
    <row r="81" spans="1:3" x14ac:dyDescent="0.3">
      <c r="A81" t="s">
        <v>79</v>
      </c>
      <c r="B81" s="1">
        <v>0.7</v>
      </c>
      <c r="C81" s="2">
        <v>0.1</v>
      </c>
    </row>
    <row r="82" spans="1:3" x14ac:dyDescent="0.3">
      <c r="A82" t="s">
        <v>80</v>
      </c>
      <c r="B82" s="1">
        <v>1.1000000000000001</v>
      </c>
      <c r="C82" s="2">
        <v>0.21</v>
      </c>
    </row>
    <row r="83" spans="1:3" x14ac:dyDescent="0.3">
      <c r="A83" t="s">
        <v>81</v>
      </c>
      <c r="B83" s="1">
        <v>3.4</v>
      </c>
      <c r="C83" s="2">
        <v>0.21</v>
      </c>
    </row>
    <row r="84" spans="1:3" x14ac:dyDescent="0.3">
      <c r="A84" t="s">
        <v>82</v>
      </c>
      <c r="B84" s="1">
        <v>3.2</v>
      </c>
      <c r="C84" s="2">
        <v>0.1</v>
      </c>
    </row>
    <row r="85" spans="1:3" x14ac:dyDescent="0.3">
      <c r="A85" t="s">
        <v>83</v>
      </c>
      <c r="B85" s="1">
        <v>6.5</v>
      </c>
      <c r="C85" s="2">
        <v>0.04</v>
      </c>
    </row>
    <row r="86" spans="1:3" x14ac:dyDescent="0.3">
      <c r="A86" t="s">
        <v>84</v>
      </c>
      <c r="B86" s="1">
        <v>3.2</v>
      </c>
      <c r="C86" s="2">
        <v>0.21</v>
      </c>
    </row>
    <row r="87" spans="1:3" x14ac:dyDescent="0.3">
      <c r="A87" t="s">
        <v>85</v>
      </c>
      <c r="B87" s="1">
        <v>5.4</v>
      </c>
      <c r="C87" s="2">
        <v>0.1</v>
      </c>
    </row>
    <row r="88" spans="1:3" x14ac:dyDescent="0.3">
      <c r="A88" t="s">
        <v>86</v>
      </c>
      <c r="B88" s="1">
        <v>6.5</v>
      </c>
      <c r="C88" s="2">
        <v>0.1</v>
      </c>
    </row>
    <row r="89" spans="1:3" x14ac:dyDescent="0.3">
      <c r="A89" t="s">
        <v>87</v>
      </c>
      <c r="B89" s="1">
        <v>2.5</v>
      </c>
      <c r="C89" s="2">
        <v>0.04</v>
      </c>
    </row>
    <row r="90" spans="1:3" x14ac:dyDescent="0.3">
      <c r="A90" t="s">
        <v>88</v>
      </c>
      <c r="B90" s="1">
        <v>6.2</v>
      </c>
      <c r="C90" s="2">
        <v>0.04</v>
      </c>
    </row>
    <row r="91" spans="1:3" x14ac:dyDescent="0.3">
      <c r="A91" t="s">
        <v>89</v>
      </c>
      <c r="B91" s="1">
        <v>2.5</v>
      </c>
      <c r="C91" s="2">
        <v>0.04</v>
      </c>
    </row>
    <row r="92" spans="1:3" x14ac:dyDescent="0.3">
      <c r="A92" t="s">
        <v>90</v>
      </c>
      <c r="B92" s="1">
        <v>3.3</v>
      </c>
      <c r="C92" s="2">
        <v>0.21</v>
      </c>
    </row>
    <row r="93" spans="1:3" x14ac:dyDescent="0.3">
      <c r="A93" t="s">
        <v>91</v>
      </c>
      <c r="B93" s="1">
        <v>2.4</v>
      </c>
      <c r="C93" s="2">
        <v>0.1</v>
      </c>
    </row>
    <row r="94" spans="1:3" x14ac:dyDescent="0.3">
      <c r="A94" t="s">
        <v>92</v>
      </c>
      <c r="B94" s="1">
        <v>12.5</v>
      </c>
      <c r="C94" s="2">
        <v>0.1</v>
      </c>
    </row>
    <row r="95" spans="1:3" x14ac:dyDescent="0.3">
      <c r="A95" t="s">
        <v>93</v>
      </c>
      <c r="B95" s="1">
        <v>4.5</v>
      </c>
      <c r="C95" s="2">
        <v>0.1</v>
      </c>
    </row>
    <row r="96" spans="1:3" x14ac:dyDescent="0.3">
      <c r="A96" t="s">
        <v>94</v>
      </c>
      <c r="B96" s="1">
        <v>3.6</v>
      </c>
      <c r="C96" s="2">
        <v>0.21</v>
      </c>
    </row>
    <row r="97" spans="1:3" x14ac:dyDescent="0.3">
      <c r="A97" t="s">
        <v>95</v>
      </c>
      <c r="B97" s="1">
        <v>4</v>
      </c>
      <c r="C97" s="2">
        <v>0.21</v>
      </c>
    </row>
    <row r="98" spans="1:3" x14ac:dyDescent="0.3">
      <c r="A98" t="s">
        <v>96</v>
      </c>
      <c r="B98" s="1">
        <v>5.0999999999999996</v>
      </c>
      <c r="C98" s="2">
        <v>0.1</v>
      </c>
    </row>
    <row r="99" spans="1:3" x14ac:dyDescent="0.3">
      <c r="A99" t="s">
        <v>97</v>
      </c>
      <c r="B99" s="1">
        <v>6.1</v>
      </c>
      <c r="C99" s="2">
        <v>0.21</v>
      </c>
    </row>
    <row r="100" spans="1:3" x14ac:dyDescent="0.3">
      <c r="A100" t="s">
        <v>99</v>
      </c>
      <c r="B100" s="1">
        <v>5.3</v>
      </c>
      <c r="C100" s="2">
        <v>0.04</v>
      </c>
    </row>
    <row r="101" spans="1:3" x14ac:dyDescent="0.3">
      <c r="A101" t="s">
        <v>100</v>
      </c>
      <c r="B101" s="1">
        <v>7.8</v>
      </c>
      <c r="C101" s="2">
        <v>0.04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Escobar</dc:creator>
  <cp:lastModifiedBy>Raymond Escobar</cp:lastModifiedBy>
  <dcterms:created xsi:type="dcterms:W3CDTF">2024-11-11T10:52:38Z</dcterms:created>
  <dcterms:modified xsi:type="dcterms:W3CDTF">2024-11-20T12:06:38Z</dcterms:modified>
</cp:coreProperties>
</file>