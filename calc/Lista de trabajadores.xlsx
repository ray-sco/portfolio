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80089512aaaa03/1º CFI/Ofimática/Excel/Lista de Trabajadores/"/>
    </mc:Choice>
  </mc:AlternateContent>
  <xr:revisionPtr revIDLastSave="237" documentId="8_{EA074DF9-DD50-4D79-A3C2-4A16ED39FBB7}" xr6:coauthVersionLast="47" xr6:coauthVersionMax="47" xr10:uidLastSave="{E80553D4-2312-405C-94AB-AF45264D0605}"/>
  <bookViews>
    <workbookView xWindow="-108" yWindow="-108" windowWidth="23256" windowHeight="12456" xr2:uid="{281B40D4-20DC-4386-922C-D285CE90A6D8}"/>
  </bookViews>
  <sheets>
    <sheet name="Lista de empleados" sheetId="1" r:id="rId1"/>
    <sheet name="Ficha" sheetId="3" r:id="rId2"/>
  </sheets>
  <definedNames>
    <definedName name="_xlchart.v1.0" hidden="1">'Lista de empleados'!$D$2:$D$21</definedName>
    <definedName name="_xlchart.v1.1" hidden="1">'Lista de empleados'!$O$2:$O$21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3" l="1"/>
  <c r="D10" i="3" s="1"/>
  <c r="D6" i="3"/>
  <c r="D4" i="3"/>
  <c r="B10" i="3"/>
  <c r="B9" i="3"/>
  <c r="B6" i="3"/>
  <c r="B4" i="3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B27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H2" i="1"/>
  <c r="I2" i="1" s="1"/>
  <c r="M2" i="1" s="1"/>
  <c r="H3" i="1"/>
  <c r="I3" i="1" s="1"/>
  <c r="M3" i="1" s="1"/>
  <c r="H4" i="1"/>
  <c r="I4" i="1" s="1"/>
  <c r="M4" i="1" s="1"/>
  <c r="H5" i="1"/>
  <c r="I5" i="1" s="1"/>
  <c r="M5" i="1" s="1"/>
  <c r="H6" i="1"/>
  <c r="I6" i="1" s="1"/>
  <c r="M6" i="1" s="1"/>
  <c r="H7" i="1"/>
  <c r="I7" i="1" s="1"/>
  <c r="M7" i="1" s="1"/>
  <c r="H8" i="1"/>
  <c r="I8" i="1" s="1"/>
  <c r="M8" i="1" s="1"/>
  <c r="H9" i="1"/>
  <c r="I9" i="1" s="1"/>
  <c r="M9" i="1" s="1"/>
  <c r="H10" i="1"/>
  <c r="I10" i="1" s="1"/>
  <c r="M10" i="1" s="1"/>
  <c r="H11" i="1"/>
  <c r="I11" i="1" s="1"/>
  <c r="M11" i="1" s="1"/>
  <c r="H12" i="1"/>
  <c r="I12" i="1" s="1"/>
  <c r="M12" i="1" s="1"/>
  <c r="H13" i="1"/>
  <c r="I13" i="1" s="1"/>
  <c r="M13" i="1" s="1"/>
  <c r="H14" i="1"/>
  <c r="I14" i="1" s="1"/>
  <c r="M14" i="1" s="1"/>
  <c r="H15" i="1"/>
  <c r="I15" i="1" s="1"/>
  <c r="M15" i="1" s="1"/>
  <c r="H16" i="1"/>
  <c r="I16" i="1" s="1"/>
  <c r="M16" i="1" s="1"/>
  <c r="H17" i="1"/>
  <c r="I17" i="1" s="1"/>
  <c r="M17" i="1" s="1"/>
  <c r="H18" i="1"/>
  <c r="I18" i="1" s="1"/>
  <c r="M18" i="1" s="1"/>
  <c r="H19" i="1"/>
  <c r="I19" i="1" s="1"/>
  <c r="M19" i="1" s="1"/>
  <c r="H20" i="1"/>
  <c r="I20" i="1" s="1"/>
  <c r="M20" i="1" s="1"/>
  <c r="H21" i="1"/>
  <c r="I21" i="1" s="1"/>
  <c r="M21" i="1" s="1"/>
  <c r="D5" i="3" l="1"/>
  <c r="B5" i="3"/>
  <c r="B8" i="3"/>
  <c r="B7" i="3"/>
  <c r="O11" i="1"/>
  <c r="P11" i="1" s="1"/>
  <c r="O10" i="1"/>
  <c r="P10" i="1" s="1"/>
  <c r="O9" i="1"/>
  <c r="P9" i="1" s="1"/>
  <c r="O12" i="1"/>
  <c r="P12" i="1" s="1"/>
  <c r="Q12" i="1" s="1"/>
  <c r="O8" i="1"/>
  <c r="P8" i="1" s="1"/>
  <c r="Q8" i="1" s="1"/>
  <c r="O21" i="1"/>
  <c r="P21" i="1" s="1"/>
  <c r="O4" i="1"/>
  <c r="P4" i="1" s="1"/>
  <c r="O2" i="1"/>
  <c r="P2" i="1" s="1"/>
  <c r="O17" i="1"/>
  <c r="P17" i="1" s="1"/>
  <c r="O7" i="1"/>
  <c r="P7" i="1" s="1"/>
  <c r="O18" i="1"/>
  <c r="P18" i="1" s="1"/>
  <c r="O16" i="1"/>
  <c r="P16" i="1" s="1"/>
  <c r="O19" i="1"/>
  <c r="P19" i="1" s="1"/>
  <c r="O6" i="1"/>
  <c r="P6" i="1" s="1"/>
  <c r="O5" i="1"/>
  <c r="P5" i="1" s="1"/>
  <c r="O20" i="1"/>
  <c r="P20" i="1" s="1"/>
  <c r="O3" i="1"/>
  <c r="P3" i="1" s="1"/>
  <c r="Q3" i="1" s="1"/>
  <c r="O15" i="1"/>
  <c r="P15" i="1" s="1"/>
  <c r="O14" i="1"/>
  <c r="O13" i="1"/>
  <c r="P13" i="1" s="1"/>
  <c r="Q13" i="1" s="1"/>
  <c r="P14" i="1" l="1"/>
  <c r="D8" i="3" s="1"/>
  <c r="D7" i="3"/>
  <c r="Q9" i="1"/>
  <c r="Q10" i="1"/>
  <c r="Q4" i="1"/>
  <c r="Q21" i="1"/>
  <c r="Q7" i="1"/>
  <c r="Q19" i="1"/>
  <c r="Q11" i="1"/>
  <c r="Q20" i="1"/>
  <c r="Q5" i="1"/>
  <c r="Q6" i="1"/>
  <c r="Q2" i="1"/>
  <c r="Q16" i="1"/>
  <c r="Q15" i="1"/>
  <c r="Q18" i="1"/>
  <c r="Q17" i="1"/>
  <c r="Q14" i="1" l="1"/>
  <c r="D9" i="3" s="1"/>
  <c r="B28" i="1" l="1"/>
</calcChain>
</file>

<file path=xl/sharedStrings.xml><?xml version="1.0" encoding="utf-8"?>
<sst xmlns="http://schemas.openxmlformats.org/spreadsheetml/2006/main" count="117" uniqueCount="81">
  <si>
    <t>Nombre</t>
  </si>
  <si>
    <t>Apellido 1</t>
  </si>
  <si>
    <t>Apellido 2</t>
  </si>
  <si>
    <t>Edad</t>
  </si>
  <si>
    <t>Antigüedad</t>
  </si>
  <si>
    <t>Trienios</t>
  </si>
  <si>
    <t>Sueldo</t>
  </si>
  <si>
    <t>Sueldo Bruto</t>
  </si>
  <si>
    <t>IRPF</t>
  </si>
  <si>
    <t>Líquido</t>
  </si>
  <si>
    <t>Fijo</t>
  </si>
  <si>
    <t>Armando</t>
  </si>
  <si>
    <t>Pérez</t>
  </si>
  <si>
    <t>Ruíz</t>
  </si>
  <si>
    <t>Fecha de nacimiento</t>
  </si>
  <si>
    <t>Susana</t>
  </si>
  <si>
    <t>Rodríguez</t>
  </si>
  <si>
    <t>Sánchez</t>
  </si>
  <si>
    <t>José Luis</t>
  </si>
  <si>
    <t>Álvaro</t>
  </si>
  <si>
    <t>Maricarmen</t>
  </si>
  <si>
    <t>Alberto</t>
  </si>
  <si>
    <t>Lucía</t>
  </si>
  <si>
    <t>María de la Paz</t>
  </si>
  <si>
    <t>Francisco</t>
  </si>
  <si>
    <t>Cristina</t>
  </si>
  <si>
    <t>Rosario</t>
  </si>
  <si>
    <t>Eva</t>
  </si>
  <si>
    <t>Juan Antonio</t>
  </si>
  <si>
    <t>Ana</t>
  </si>
  <si>
    <t>Javier</t>
  </si>
  <si>
    <t>Manuela</t>
  </si>
  <si>
    <t>Roberto</t>
  </si>
  <si>
    <t>Julia</t>
  </si>
  <si>
    <t>Mena</t>
  </si>
  <si>
    <t>Hernández</t>
  </si>
  <si>
    <t>Ruiz</t>
  </si>
  <si>
    <t>Martínez</t>
  </si>
  <si>
    <t>López</t>
  </si>
  <si>
    <t>Romero</t>
  </si>
  <si>
    <t>Gutiérrez</t>
  </si>
  <si>
    <t>Alonso</t>
  </si>
  <si>
    <t>Ramírez</t>
  </si>
  <si>
    <t>Navarro</t>
  </si>
  <si>
    <t>Gómez</t>
  </si>
  <si>
    <t>de Oliveira</t>
  </si>
  <si>
    <t>Carvalho</t>
  </si>
  <si>
    <t>Vásquez</t>
  </si>
  <si>
    <t>García</t>
  </si>
  <si>
    <t>Torres</t>
  </si>
  <si>
    <t>Azuaje</t>
  </si>
  <si>
    <t>González</t>
  </si>
  <si>
    <t>Jiménez</t>
  </si>
  <si>
    <t>Ortega</t>
  </si>
  <si>
    <t>Zambrano</t>
  </si>
  <si>
    <t>Díaz</t>
  </si>
  <si>
    <t>Johnson</t>
  </si>
  <si>
    <t>Fernández</t>
  </si>
  <si>
    <t>Samanta</t>
  </si>
  <si>
    <t>Arévalo</t>
  </si>
  <si>
    <t>Mejías</t>
  </si>
  <si>
    <t>Nombre
completo</t>
  </si>
  <si>
    <t>Fecha
Ingreso</t>
  </si>
  <si>
    <t>Complemento
Destino</t>
  </si>
  <si>
    <t>Complemento
Antigüedad</t>
  </si>
  <si>
    <t>Complemento
Fijo</t>
  </si>
  <si>
    <t>Localidad
Destino</t>
  </si>
  <si>
    <t>Jerez</t>
  </si>
  <si>
    <t>Sevilla</t>
  </si>
  <si>
    <t>Madrid</t>
  </si>
  <si>
    <t>Lepe</t>
  </si>
  <si>
    <t>Total trabajadores</t>
  </si>
  <si>
    <t>Sueldo medio</t>
  </si>
  <si>
    <t>Nombre del Trabajador</t>
  </si>
  <si>
    <t>Fecha Ingreso</t>
  </si>
  <si>
    <t>Localidad Destino</t>
  </si>
  <si>
    <t>Complemento Destino</t>
  </si>
  <si>
    <t>Complemento Antigüedad</t>
  </si>
  <si>
    <t>Complemento Fijo</t>
  </si>
  <si>
    <t>FICHA DEL TRABAJADOR</t>
  </si>
  <si>
    <t>Cristina de Oliveira Carvalho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</si>
</sst>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€-2]\ * #,##0.00_-;\-[$€-2]\ * #,##0.00_-;_-[$€-2]\ * &quot;-&quot;??_-;_-@_-"/>
    <numFmt numFmtId="165" formatCode="_-* #,##0.00\ [$€-C0A]_-;\-* #,##0.00\ [$€-C0A]_-;_-* &quot;-&quot;??\ [$€-C0A]_-;_-@_-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A5A5A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4"/>
      </left>
      <right/>
      <top style="medium">
        <color theme="4"/>
      </top>
      <bottom style="thin">
        <color indexed="64"/>
      </bottom>
      <diagonal/>
    </border>
    <border>
      <left/>
      <right style="medium">
        <color theme="4"/>
      </right>
      <top style="medium">
        <color theme="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3" fillId="0" borderId="0" applyFont="0" applyFill="0" applyBorder="0" applyAlignment="0" applyProtection="0"/>
    <xf numFmtId="0" fontId="6" fillId="3" borderId="1" applyNumberFormat="0" applyAlignment="0" applyProtection="0"/>
  </cellStyleXfs>
  <cellXfs count="3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64" fontId="2" fillId="2" borderId="0" xfId="0" applyNumberFormat="1" applyFont="1" applyFill="1" applyAlignment="1">
      <alignment horizontal="center" vertical="center" wrapText="1"/>
    </xf>
    <xf numFmtId="44" fontId="0" fillId="0" borderId="0" xfId="2" applyFont="1"/>
    <xf numFmtId="44" fontId="0" fillId="0" borderId="0" xfId="0" applyNumberFormat="1"/>
    <xf numFmtId="10" fontId="2" fillId="2" borderId="0" xfId="0" applyNumberFormat="1" applyFont="1" applyFill="1" applyAlignment="1">
      <alignment horizontal="center" vertical="center"/>
    </xf>
    <xf numFmtId="10" fontId="0" fillId="0" borderId="0" xfId="0" applyNumberFormat="1"/>
    <xf numFmtId="0" fontId="4" fillId="0" borderId="0" xfId="0" applyFont="1"/>
    <xf numFmtId="0" fontId="7" fillId="4" borderId="2" xfId="0" applyFont="1" applyFill="1" applyBorder="1"/>
    <xf numFmtId="14" fontId="6" fillId="5" borderId="5" xfId="3" applyNumberFormat="1" applyFill="1" applyBorder="1" applyAlignment="1">
      <alignment horizontal="center" vertical="center"/>
    </xf>
    <xf numFmtId="0" fontId="6" fillId="5" borderId="5" xfId="3" applyNumberFormat="1" applyFill="1" applyBorder="1" applyAlignment="1">
      <alignment horizontal="center" vertical="center"/>
    </xf>
    <xf numFmtId="44" fontId="6" fillId="5" borderId="5" xfId="3" applyNumberFormat="1" applyFill="1" applyBorder="1" applyAlignment="1">
      <alignment horizontal="center" vertical="center"/>
    </xf>
    <xf numFmtId="165" fontId="6" fillId="5" borderId="5" xfId="3" applyNumberFormat="1" applyFill="1" applyBorder="1" applyAlignment="1">
      <alignment horizontal="center" vertical="center"/>
    </xf>
    <xf numFmtId="10" fontId="6" fillId="5" borderId="5" xfId="3" applyNumberFormat="1" applyFill="1" applyBorder="1" applyAlignment="1">
      <alignment horizontal="center" vertical="center"/>
    </xf>
    <xf numFmtId="0" fontId="2" fillId="0" borderId="0" xfId="0" applyFont="1"/>
    <xf numFmtId="0" fontId="8" fillId="6" borderId="0" xfId="0" applyFont="1" applyFill="1" applyAlignment="1">
      <alignment horizontal="center" vertical="center"/>
    </xf>
    <xf numFmtId="44" fontId="7" fillId="7" borderId="3" xfId="2" applyFont="1" applyFill="1" applyBorder="1" applyAlignment="1">
      <alignment horizontal="center" vertical="center"/>
    </xf>
    <xf numFmtId="0" fontId="7" fillId="4" borderId="6" xfId="0" applyFont="1" applyFill="1" applyBorder="1"/>
    <xf numFmtId="0" fontId="7" fillId="7" borderId="7" xfId="0" applyFont="1" applyFill="1" applyBorder="1" applyAlignment="1">
      <alignment horizontal="right" vertical="center"/>
    </xf>
    <xf numFmtId="9" fontId="0" fillId="0" borderId="0" xfId="0" applyNumberFormat="1"/>
    <xf numFmtId="0" fontId="5" fillId="8" borderId="5" xfId="3" applyFont="1" applyFill="1" applyBorder="1" applyAlignment="1">
      <alignment horizontal="center" vertical="center"/>
    </xf>
    <xf numFmtId="165" fontId="6" fillId="5" borderId="4" xfId="3" applyNumberFormat="1" applyFill="1" applyBorder="1" applyAlignment="1">
      <alignment horizontal="right" vertical="center" wrapText="1"/>
    </xf>
    <xf numFmtId="164" fontId="6" fillId="5" borderId="4" xfId="3" applyNumberFormat="1" applyFill="1" applyBorder="1" applyAlignment="1">
      <alignment horizontal="right" vertical="center" wrapText="1"/>
    </xf>
    <xf numFmtId="0" fontId="6" fillId="5" borderId="4" xfId="3" applyFill="1" applyBorder="1" applyAlignment="1">
      <alignment horizontal="right" vertical="center" wrapText="1"/>
    </xf>
    <xf numFmtId="0" fontId="6" fillId="5" borderId="4" xfId="3" applyFill="1" applyBorder="1" applyAlignment="1">
      <alignment horizontal="right" vertical="center"/>
    </xf>
    <xf numFmtId="10" fontId="6" fillId="5" borderId="4" xfId="3" applyNumberFormat="1" applyFill="1" applyBorder="1" applyAlignment="1">
      <alignment horizontal="right" vertical="center"/>
    </xf>
    <xf numFmtId="164" fontId="6" fillId="5" borderId="4" xfId="3" applyNumberFormat="1" applyFill="1" applyBorder="1" applyAlignment="1">
      <alignment horizontal="right" vertical="center"/>
    </xf>
    <xf numFmtId="0" fontId="9" fillId="9" borderId="5" xfId="3" applyFont="1" applyFill="1" applyBorder="1" applyAlignment="1">
      <alignment horizontal="center" vertical="center"/>
    </xf>
    <xf numFmtId="0" fontId="9" fillId="9" borderId="1" xfId="3" applyFont="1" applyFill="1" applyAlignment="1">
      <alignment horizontal="center" vertical="center"/>
    </xf>
  </cellXfs>
  <cellStyles count="4">
    <cellStyle name="Celda de comprobación" xfId="3" builtinId="23"/>
    <cellStyle name="Moneda" xfId="2" builtinId="4"/>
    <cellStyle name="Normal" xfId="0" builtinId="0"/>
    <cellStyle name="Normal_Hoja1" xfId="1" xr:uid="{8B5333A1-9020-411F-8434-F48571306267}"/>
  </cellStyles>
  <dxfs count="19">
    <dxf>
      <fill>
        <patternFill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"/>
        <color theme="0"/>
        <name val="Calibri"/>
        <family val="2"/>
        <scheme val="minor"/>
      </font>
    </dxf>
    <dxf>
      <numFmt numFmtId="34" formatCode="_-* #,##0.00\ &quot;€&quot;_-;\-* #,##0.00\ &quot;€&quot;_-;_-* &quot;-&quot;??\ &quot;€&quot;_-;_-@_-"/>
    </dxf>
    <dxf>
      <numFmt numFmtId="14" formatCode="0.00%"/>
    </dxf>
    <dxf>
      <numFmt numFmtId="34" formatCode="_-* #,##0.00\ &quot;€&quot;_-;\-* #,##0.00\ &quot;€&quot;_-;_-* &quot;-&quot;??\ &quot;€&quot;_-;_-@_-"/>
    </dxf>
    <dxf>
      <numFmt numFmtId="0" formatCode="General"/>
    </dxf>
    <dxf>
      <numFmt numFmtId="164" formatCode="_-[$€-2]\ * #,##0.00_-;\-[$€-2]\ * #,##0.00_-;_-[$€-2]\ * &quot;-&quot;??_-;_-@_-"/>
    </dxf>
    <dxf>
      <numFmt numFmtId="165" formatCode="_-* #,##0.00\ [$€-C0A]_-;\-* #,##0.00\ [$€-C0A]_-;_-* &quot;-&quot;??\ [$€-C0A]_-;_-@_-"/>
    </dxf>
    <dxf>
      <numFmt numFmtId="164" formatCode="_-[$€-2]\ * #,##0.00_-;\-[$€-2]\ * #,##0.00_-;_-[$€-2]\ * &quot;-&quot;??_-;_-@_-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>
                <a:solidFill>
                  <a:schemeClr val="tx2"/>
                </a:solidFill>
              </a:rPr>
              <a:t>Sueldo Líquido de Trabajadores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5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'Lista de empleados'!$D$2:$D$21</c:f>
              <c:strCache>
                <c:ptCount val="20"/>
                <c:pt idx="0">
                  <c:v>Armando Pérez Ruíz</c:v>
                </c:pt>
                <c:pt idx="1">
                  <c:v>Susana Rodríguez Sánchez</c:v>
                </c:pt>
                <c:pt idx="2">
                  <c:v>José Luis Mena Hernández</c:v>
                </c:pt>
                <c:pt idx="3">
                  <c:v>Álvaro Rodríguez Ruiz</c:v>
                </c:pt>
                <c:pt idx="4">
                  <c:v>Maricarmen Martínez López</c:v>
                </c:pt>
                <c:pt idx="5">
                  <c:v>Alberto Romero Gutiérrez</c:v>
                </c:pt>
                <c:pt idx="6">
                  <c:v>Lucía Alonso Ramírez</c:v>
                </c:pt>
                <c:pt idx="7">
                  <c:v>María de la Paz Díaz Hernández</c:v>
                </c:pt>
                <c:pt idx="8">
                  <c:v>Francisco Gómez Sánchez</c:v>
                </c:pt>
                <c:pt idx="9">
                  <c:v>Cristina de Oliveira Carvalho</c:v>
                </c:pt>
                <c:pt idx="10">
                  <c:v>Rosario Vásquez García</c:v>
                </c:pt>
                <c:pt idx="11">
                  <c:v>Susana Torres Azuaje</c:v>
                </c:pt>
                <c:pt idx="12">
                  <c:v>Eva González Torres</c:v>
                </c:pt>
                <c:pt idx="13">
                  <c:v>Juan Antonio Jiménez Ortega</c:v>
                </c:pt>
                <c:pt idx="14">
                  <c:v>Ana Zambrano Díaz</c:v>
                </c:pt>
                <c:pt idx="15">
                  <c:v>Javier Martínez Romero</c:v>
                </c:pt>
                <c:pt idx="16">
                  <c:v>Manuela Pérez Gómez</c:v>
                </c:pt>
                <c:pt idx="17">
                  <c:v>Samanta Arévalo Johnson</c:v>
                </c:pt>
                <c:pt idx="18">
                  <c:v>Roberto Mejías Fernández</c:v>
                </c:pt>
                <c:pt idx="19">
                  <c:v>Julia Navarro López</c:v>
                </c:pt>
              </c:strCache>
            </c:strRef>
          </c:cat>
          <c:val>
            <c:numRef>
              <c:f>'Lista de empleados'!$Q$2:$Q$21</c:f>
              <c:numCache>
                <c:formatCode>_("€"* #,##0.00_);_("€"* \(#,##0.00\);_("€"* "-"??_);_(@_)</c:formatCode>
                <c:ptCount val="20"/>
                <c:pt idx="0">
                  <c:v>1053</c:v>
                </c:pt>
                <c:pt idx="1">
                  <c:v>1564</c:v>
                </c:pt>
                <c:pt idx="2">
                  <c:v>2100.4</c:v>
                </c:pt>
                <c:pt idx="3">
                  <c:v>1302.75</c:v>
                </c:pt>
                <c:pt idx="4">
                  <c:v>972</c:v>
                </c:pt>
                <c:pt idx="5">
                  <c:v>1273.5</c:v>
                </c:pt>
                <c:pt idx="6">
                  <c:v>1050.75</c:v>
                </c:pt>
                <c:pt idx="7">
                  <c:v>2378</c:v>
                </c:pt>
                <c:pt idx="8">
                  <c:v>1738</c:v>
                </c:pt>
                <c:pt idx="9">
                  <c:v>1619.25</c:v>
                </c:pt>
                <c:pt idx="10">
                  <c:v>1021.5</c:v>
                </c:pt>
                <c:pt idx="11">
                  <c:v>1093.5</c:v>
                </c:pt>
                <c:pt idx="12">
                  <c:v>1357.875</c:v>
                </c:pt>
                <c:pt idx="13">
                  <c:v>1391.875</c:v>
                </c:pt>
                <c:pt idx="14">
                  <c:v>2070</c:v>
                </c:pt>
                <c:pt idx="15">
                  <c:v>1774</c:v>
                </c:pt>
                <c:pt idx="16">
                  <c:v>1161</c:v>
                </c:pt>
                <c:pt idx="17">
                  <c:v>1678.75</c:v>
                </c:pt>
                <c:pt idx="18">
                  <c:v>2458</c:v>
                </c:pt>
                <c:pt idx="19">
                  <c:v>1816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3-4C3C-9D2E-0895901A5C7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7947968"/>
        <c:axId val="67946048"/>
      </c:barChart>
      <c:catAx>
        <c:axId val="67947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946048"/>
        <c:crosses val="autoZero"/>
        <c:auto val="1"/>
        <c:lblAlgn val="ctr"/>
        <c:lblOffset val="100"/>
        <c:noMultiLvlLbl val="0"/>
      </c:catAx>
      <c:valAx>
        <c:axId val="679460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94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  <a:alpha val="50000"/>
          </a:schemeClr>
        </a:gs>
        <a:gs pos="83000">
          <a:schemeClr val="accent1">
            <a:lumMod val="45000"/>
            <a:lumOff val="55000"/>
            <a:alpha val="40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CheckBox" fmlaLink="$R$2" lockText="1"/>
</file>

<file path=xl/ctrlProps/ctrlProp2.xml><?xml version="1.0" encoding="utf-8"?>
<formControlPr xmlns="http://schemas.microsoft.com/office/spreadsheetml/2009/9/main" objectType="CheckBox" checked="Checked" fmlaLink="$R$3" lockText="1"/>
</file>

<file path=xl/ctrlProps/ctrlProp3.xml><?xml version="1.0" encoding="utf-8"?>
<formControlPr xmlns="http://schemas.microsoft.com/office/spreadsheetml/2009/9/main" objectType="CheckBox" checked="Checked" fmlaLink="$R$4" lockText="1"/>
</file>

<file path=xl/ctrlProps/ctrlProp4.xml><?xml version="1.0" encoding="utf-8"?>
<formControlPr xmlns="http://schemas.microsoft.com/office/spreadsheetml/2009/9/main" objectType="CheckBox" fmlaLink="$R$5" lockText="1"/>
</file>

<file path=xl/ctrlProps/ctrlProp5.xml><?xml version="1.0" encoding="utf-8"?>
<formControlPr xmlns="http://schemas.microsoft.com/office/spreadsheetml/2009/9/main" objectType="CheckBox" fmlaLink="$R$6" lockText="1"/>
</file>

<file path=xl/ctrlProps/ctrlProp6.xml><?xml version="1.0" encoding="utf-8"?>
<formControlPr xmlns="http://schemas.microsoft.com/office/spreadsheetml/2009/9/main" objectType="CheckBox" checked="Checked" fmlaLink="$R$7" lockText="1"/>
</file>

<file path=xl/ctrlProps/ctrlProp7.xml><?xml version="1.0" encoding="utf-8"?>
<formControlPr xmlns="http://schemas.microsoft.com/office/spreadsheetml/2009/9/main" objectType="CheckBox" fmlaLink="$R$8" lockText="1"/>
</file>

<file path=xl/ctrlProps/ctrlProp8.xml><?xml version="1.0" encoding="utf-8"?>
<formControlPr xmlns="http://schemas.microsoft.com/office/spreadsheetml/2009/9/main" objectType="CheckBox" checked="Checked" fmlaLink="$R$9" lockText="1"/>
</file>

<file path=xl/ctrlProps/ctrlProp9.xml><?xml version="1.0" encoding="utf-8"?>
<formControlPr xmlns="http://schemas.microsoft.com/office/spreadsheetml/2009/9/main" objectType="CheckBox" checked="Checked" fmlaLink="$R$10" lockText="1"/>
</file>

<file path=xl/ctrlProps/ctrlProp10.xml><?xml version="1.0" encoding="utf-8"?>
<formControlPr xmlns="http://schemas.microsoft.com/office/spreadsheetml/2009/9/main" objectType="CheckBox" checked="Checked" fmlaLink="$R$11" lockText="1"/>
</file>

<file path=xl/ctrlProps/ctrlProp11.xml><?xml version="1.0" encoding="utf-8"?>
<formControlPr xmlns="http://schemas.microsoft.com/office/spreadsheetml/2009/9/main" objectType="CheckBox" fmlaLink="$R$12" lockText="1"/>
</file>

<file path=xl/ctrlProps/ctrlProp12.xml><?xml version="1.0" encoding="utf-8"?>
<formControlPr xmlns="http://schemas.microsoft.com/office/spreadsheetml/2009/9/main" objectType="CheckBox" fmlaLink="$R$13" lockText="1"/>
</file>

<file path=xl/ctrlProps/ctrlProp13.xml><?xml version="1.0" encoding="utf-8"?>
<formControlPr xmlns="http://schemas.microsoft.com/office/spreadsheetml/2009/9/main" objectType="CheckBox" fmlaLink="$R$14" lockText="1"/>
</file>

<file path=xl/ctrlProps/ctrlProp14.xml><?xml version="1.0" encoding="utf-8"?>
<formControlPr xmlns="http://schemas.microsoft.com/office/spreadsheetml/2009/9/main" objectType="CheckBox" fmlaLink="$R$15" lockText="1"/>
</file>

<file path=xl/ctrlProps/ctrlProp15.xml><?xml version="1.0" encoding="utf-8"?>
<formControlPr xmlns="http://schemas.microsoft.com/office/spreadsheetml/2009/9/main" objectType="CheckBox" checked="Checked" fmlaLink="$R$16" lockText="1"/>
</file>

<file path=xl/ctrlProps/ctrlProp16.xml><?xml version="1.0" encoding="utf-8"?>
<formControlPr xmlns="http://schemas.microsoft.com/office/spreadsheetml/2009/9/main" objectType="CheckBox" checked="Checked" fmlaLink="$R$17" lockText="1"/>
</file>

<file path=xl/ctrlProps/ctrlProp17.xml><?xml version="1.0" encoding="utf-8"?>
<formControlPr xmlns="http://schemas.microsoft.com/office/spreadsheetml/2009/9/main" objectType="CheckBox" fmlaLink="$R$18" lockText="1"/>
</file>

<file path=xl/ctrlProps/ctrlProp18.xml><?xml version="1.0" encoding="utf-8"?>
<formControlPr xmlns="http://schemas.microsoft.com/office/spreadsheetml/2009/9/main" objectType="CheckBox" checked="Checked" fmlaLink="$R$19" lockText="1"/>
</file>

<file path=xl/ctrlProps/ctrlProp19.xml><?xml version="1.0" encoding="utf-8"?>
<formControlPr xmlns="http://schemas.microsoft.com/office/spreadsheetml/2009/9/main" objectType="CheckBox" checked="Checked" fmlaLink="$R$20" lockText="1"/>
</file>

<file path=xl/ctrlProps/ctrlProp20.xml><?xml version="1.0" encoding="utf-8"?>
<formControlPr xmlns="http://schemas.microsoft.com/office/spreadsheetml/2009/9/main" objectType="CheckBox" checked="Checked" fmlaLink="$R$21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1</xdr:row>
          <xdr:rowOff>0</xdr:rowOff>
        </xdr:from>
        <xdr:to>
          <xdr:col>17</xdr:col>
          <xdr:colOff>251460</xdr:colOff>
          <xdr:row>2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2</xdr:row>
          <xdr:rowOff>0</xdr:rowOff>
        </xdr:from>
        <xdr:to>
          <xdr:col>17</xdr:col>
          <xdr:colOff>251460</xdr:colOff>
          <xdr:row>3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3</xdr:row>
          <xdr:rowOff>0</xdr:rowOff>
        </xdr:from>
        <xdr:to>
          <xdr:col>17</xdr:col>
          <xdr:colOff>251460</xdr:colOff>
          <xdr:row>4</xdr:row>
          <xdr:rowOff>7620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4</xdr:row>
          <xdr:rowOff>0</xdr:rowOff>
        </xdr:from>
        <xdr:to>
          <xdr:col>17</xdr:col>
          <xdr:colOff>251460</xdr:colOff>
          <xdr:row>5</xdr:row>
          <xdr:rowOff>7620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4</xdr:row>
          <xdr:rowOff>175260</xdr:rowOff>
        </xdr:from>
        <xdr:to>
          <xdr:col>17</xdr:col>
          <xdr:colOff>251460</xdr:colOff>
          <xdr:row>6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5</xdr:row>
          <xdr:rowOff>175260</xdr:rowOff>
        </xdr:from>
        <xdr:to>
          <xdr:col>17</xdr:col>
          <xdr:colOff>251460</xdr:colOff>
          <xdr:row>7</xdr:row>
          <xdr:rowOff>970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7</xdr:row>
          <xdr:rowOff>0</xdr:rowOff>
        </xdr:from>
        <xdr:to>
          <xdr:col>17</xdr:col>
          <xdr:colOff>251460</xdr:colOff>
          <xdr:row>8</xdr:row>
          <xdr:rowOff>7620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8</xdr:row>
          <xdr:rowOff>0</xdr:rowOff>
        </xdr:from>
        <xdr:to>
          <xdr:col>17</xdr:col>
          <xdr:colOff>251460</xdr:colOff>
          <xdr:row>9</xdr:row>
          <xdr:rowOff>7620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8</xdr:row>
          <xdr:rowOff>175260</xdr:rowOff>
        </xdr:from>
        <xdr:to>
          <xdr:col>17</xdr:col>
          <xdr:colOff>251460</xdr:colOff>
          <xdr:row>10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9</xdr:row>
          <xdr:rowOff>175260</xdr:rowOff>
        </xdr:from>
        <xdr:to>
          <xdr:col>17</xdr:col>
          <xdr:colOff>251460</xdr:colOff>
          <xdr:row>11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10</xdr:row>
          <xdr:rowOff>175260</xdr:rowOff>
        </xdr:from>
        <xdr:to>
          <xdr:col>17</xdr:col>
          <xdr:colOff>251460</xdr:colOff>
          <xdr:row>12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12</xdr:row>
          <xdr:rowOff>0</xdr:rowOff>
        </xdr:from>
        <xdr:to>
          <xdr:col>17</xdr:col>
          <xdr:colOff>251460</xdr:colOff>
          <xdr:row>13</xdr:row>
          <xdr:rowOff>7620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13</xdr:row>
          <xdr:rowOff>0</xdr:rowOff>
        </xdr:from>
        <xdr:to>
          <xdr:col>17</xdr:col>
          <xdr:colOff>251460</xdr:colOff>
          <xdr:row>14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14</xdr:row>
          <xdr:rowOff>0</xdr:rowOff>
        </xdr:from>
        <xdr:to>
          <xdr:col>17</xdr:col>
          <xdr:colOff>251460</xdr:colOff>
          <xdr:row>15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15</xdr:row>
          <xdr:rowOff>0</xdr:rowOff>
        </xdr:from>
        <xdr:to>
          <xdr:col>17</xdr:col>
          <xdr:colOff>251460</xdr:colOff>
          <xdr:row>16</xdr:row>
          <xdr:rowOff>7620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16</xdr:row>
          <xdr:rowOff>0</xdr:rowOff>
        </xdr:from>
        <xdr:to>
          <xdr:col>17</xdr:col>
          <xdr:colOff>251460</xdr:colOff>
          <xdr:row>17</xdr:row>
          <xdr:rowOff>7620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16</xdr:row>
          <xdr:rowOff>175260</xdr:rowOff>
        </xdr:from>
        <xdr:to>
          <xdr:col>17</xdr:col>
          <xdr:colOff>251460</xdr:colOff>
          <xdr:row>18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17</xdr:row>
          <xdr:rowOff>175260</xdr:rowOff>
        </xdr:from>
        <xdr:to>
          <xdr:col>17</xdr:col>
          <xdr:colOff>251460</xdr:colOff>
          <xdr:row>19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19</xdr:row>
          <xdr:rowOff>0</xdr:rowOff>
        </xdr:from>
        <xdr:to>
          <xdr:col>17</xdr:col>
          <xdr:colOff>251460</xdr:colOff>
          <xdr:row>20</xdr:row>
          <xdr:rowOff>7620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20</xdr:row>
          <xdr:rowOff>0</xdr:rowOff>
        </xdr:from>
        <xdr:to>
          <xdr:col>17</xdr:col>
          <xdr:colOff>251460</xdr:colOff>
          <xdr:row>21</xdr:row>
          <xdr:rowOff>7620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527451</xdr:colOff>
      <xdr:row>22</xdr:row>
      <xdr:rowOff>1674</xdr:rowOff>
    </xdr:from>
    <xdr:to>
      <xdr:col>8</xdr:col>
      <xdr:colOff>681790</xdr:colOff>
      <xdr:row>46</xdr:row>
      <xdr:rowOff>128337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A67738F-0C1C-1C1D-C984-3A97C0C74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A81C11-C3E0-4C5A-B567-F30E888660E1}" name="Tabla2" displayName="Tabla2" ref="A1:R21" totalsRowShown="0" headerRowDxfId="18">
  <autoFilter ref="A1:R21" xr:uid="{F0A81C11-C3E0-4C5A-B567-F30E888660E1}"/>
  <tableColumns count="18">
    <tableColumn id="1" xr3:uid="{0B2FADE0-E87A-4390-AAD7-3FACFF2F92B1}" name="Nombre" dataDxfId="17" dataCellStyle="Normal_Hoja1"/>
    <tableColumn id="2" xr3:uid="{FF961255-5A38-4FBA-BF54-4B51FB19819D}" name="Apellido 1" dataDxfId="16" dataCellStyle="Normal_Hoja1"/>
    <tableColumn id="3" xr3:uid="{93DBD8F9-A7A1-43AA-8576-E130D8DC8091}" name="Apellido 2" dataDxfId="15" dataCellStyle="Normal_Hoja1"/>
    <tableColumn id="4" xr3:uid="{55950296-559C-480D-924C-FBF31013EA6A}" name="Nombre_x000a_completo" dataDxfId="14">
      <calculatedColumnFormula>CONCATENATE(Tabla2[[#This Row],[Nombre]]," ",Tabla2[[#This Row],[Apellido 1]]," ",Tabla2[[#This Row],[Apellido 2]])</calculatedColumnFormula>
    </tableColumn>
    <tableColumn id="5" xr3:uid="{A13BB473-90CE-448F-B803-30694AFBDAE3}" name="Fecha de nacimiento" dataDxfId="13"/>
    <tableColumn id="6" xr3:uid="{BB4AB7D4-B566-47C3-B0E7-2629EDC70049}" name="Edad" dataDxfId="12">
      <calculatedColumnFormula>INT((TODAY()-Tabla2[[#This Row],[Fecha de nacimiento]])/365.25)</calculatedColumnFormula>
    </tableColumn>
    <tableColumn id="7" xr3:uid="{C290E103-55C9-46B3-AEC7-FE1AA26CDCA0}" name="Fecha_x000a_Ingreso" dataDxfId="11"/>
    <tableColumn id="8" xr3:uid="{842C979A-1758-46AF-A3BF-66CB90A4CDC8}" name="Antigüedad" dataDxfId="10">
      <calculatedColumnFormula>INT((TODAY()-Tabla2[[#This Row],[Fecha
Ingreso]])/365.25)</calculatedColumnFormula>
    </tableColumn>
    <tableColumn id="9" xr3:uid="{F7560173-327D-452D-B861-49FE4996DAB6}" name="Trienios" dataDxfId="9">
      <calculatedColumnFormula>INT(Tabla2[[#This Row],[Antigüedad]]/3)</calculatedColumnFormula>
    </tableColumn>
    <tableColumn id="10" xr3:uid="{12821314-F5F5-4480-A956-450B07C468CE}" name="Sueldo" dataDxfId="8" dataCellStyle="Moneda"/>
    <tableColumn id="11" xr3:uid="{FCB767B6-1CF7-414C-90A1-D0E76E82347B}" name="Localidad_x000a_Destino"/>
    <tableColumn id="12" xr3:uid="{A148A56D-BCFD-45ED-BBDC-BFDAB74BE727}" name="Complemento_x000a_Destino" dataDxfId="7">
      <calculatedColumnFormula>IF(Tabla2[[#This Row],[Localidad
Destino]]="Lepe",55,(IF(Tabla2[[#This Row],[Localidad
Destino]]="Madrid",90,(IF(Tabla2[[#This Row],[Localidad
Destino]]="Sevilla",60,0)))))</calculatedColumnFormula>
    </tableColumn>
    <tableColumn id="13" xr3:uid="{3BC8C668-CD52-47A4-9FF7-FF1E6167A9A2}" name="Complemento_x000a_Antigüedad" dataDxfId="6" dataCellStyle="Moneda">
      <calculatedColumnFormula>Tabla2[[#This Row],[Trienios]]*87.5</calculatedColumnFormula>
    </tableColumn>
    <tableColumn id="14" xr3:uid="{578075EF-D78F-4FAE-9044-D8004240E03F}" name="Complemento_x000a_Fijo" dataDxfId="5" dataCellStyle="Moneda">
      <calculatedColumnFormula>IF(Tabla2[[#This Row],[Fijo]]=TRUE,50,0)</calculatedColumnFormula>
    </tableColumn>
    <tableColumn id="15" xr3:uid="{7D0AA5A4-46E0-496F-9D98-40B19580460F}" name="Sueldo Bruto" dataDxfId="4">
      <calculatedColumnFormula>Tabla2[[#This Row],[Sueldo]]+Tabla2[[#This Row],[Complemento
Destino]]+Tabla2[[#This Row],[Complemento
Antigüedad]]+Tabla2[[#This Row],[Complemento
Fijo]]</calculatedColumnFormula>
    </tableColumn>
    <tableColumn id="16" xr3:uid="{A4B75CCE-2775-4EC0-9A05-6088DC56A1CA}" name="IRPF" dataDxfId="3">
      <calculatedColumnFormula>IF(Tabla2[[#This Row],[Sueldo Bruto]]&gt;=2000,20%,IF(Tabla2[[#This Row],[Sueldo Bruto]]&gt;=1500,15%,10%))</calculatedColumnFormula>
    </tableColumn>
    <tableColumn id="17" xr3:uid="{835A62AD-CFC9-4086-8EDF-F1612EA280AD}" name="Líquido" dataDxfId="2">
      <calculatedColumnFormula>Tabla2[[#This Row],[Sueldo Bruto]]-(Tabla2[[#This Row],[Sueldo Bruto]]*Tabla2[[#This Row],[IRPF]])</calculatedColumnFormula>
    </tableColumn>
    <tableColumn id="18" xr3:uid="{5B5B35DF-176C-40F2-9759-E4DC40C248CA}" name="Fijo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table" Target="../tables/table1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455F-5B97-4511-A444-292DC25AAE2F}">
  <dimension ref="A1:R57"/>
  <sheetViews>
    <sheetView tabSelected="1" zoomScale="99" zoomScaleNormal="100" workbookViewId="0">
      <pane ySplit="1" topLeftCell="A2" activePane="bottomLeft" state="frozen"/>
      <selection pane="bottomLeft" activeCell="A3" sqref="A3"/>
    </sheetView>
  </sheetViews>
  <sheetFormatPr baseColWidth="10" defaultRowHeight="14.4" x14ac:dyDescent="0.3"/>
  <cols>
    <col min="1" max="1" width="18.21875" customWidth="1"/>
    <col min="2" max="2" width="18.109375" customWidth="1"/>
    <col min="3" max="3" width="16.109375" customWidth="1"/>
    <col min="4" max="4" width="31" customWidth="1"/>
    <col min="5" max="5" width="14.88671875" bestFit="1" customWidth="1"/>
    <col min="6" max="6" width="11.44140625" bestFit="1" customWidth="1"/>
    <col min="7" max="7" width="13.77734375" customWidth="1"/>
    <col min="8" max="8" width="12" customWidth="1"/>
    <col min="9" max="9" width="11.44140625" bestFit="1" customWidth="1"/>
    <col min="10" max="10" width="11.5546875" style="2" customWidth="1"/>
    <col min="11" max="11" width="12" customWidth="1"/>
    <col min="12" max="12" width="13.21875" style="7" customWidth="1"/>
    <col min="13" max="13" width="13.77734375" style="2" customWidth="1"/>
    <col min="14" max="14" width="13" customWidth="1"/>
    <col min="15" max="15" width="13.109375" customWidth="1"/>
    <col min="16" max="16" width="14.21875" style="12" customWidth="1"/>
    <col min="17" max="17" width="14.33203125" customWidth="1"/>
    <col min="18" max="18" width="5.33203125" customWidth="1"/>
  </cols>
  <sheetData>
    <row r="1" spans="1:18" ht="28.8" customHeight="1" x14ac:dyDescent="0.3">
      <c r="A1" s="3" t="s">
        <v>0</v>
      </c>
      <c r="B1" s="3" t="s">
        <v>1</v>
      </c>
      <c r="C1" s="3" t="s">
        <v>2</v>
      </c>
      <c r="D1" s="4" t="s">
        <v>61</v>
      </c>
      <c r="E1" s="4" t="s">
        <v>14</v>
      </c>
      <c r="F1" s="3" t="s">
        <v>3</v>
      </c>
      <c r="G1" s="4" t="s">
        <v>62</v>
      </c>
      <c r="H1" s="3" t="s">
        <v>4</v>
      </c>
      <c r="I1" s="3" t="s">
        <v>5</v>
      </c>
      <c r="J1" s="5" t="s">
        <v>6</v>
      </c>
      <c r="K1" s="4" t="s">
        <v>66</v>
      </c>
      <c r="L1" s="6" t="s">
        <v>63</v>
      </c>
      <c r="M1" s="8" t="s">
        <v>64</v>
      </c>
      <c r="N1" s="4" t="s">
        <v>65</v>
      </c>
      <c r="O1" s="3" t="s">
        <v>7</v>
      </c>
      <c r="P1" s="11" t="s">
        <v>8</v>
      </c>
      <c r="Q1" s="3" t="s">
        <v>9</v>
      </c>
      <c r="R1" s="3" t="s">
        <v>10</v>
      </c>
    </row>
    <row r="2" spans="1:18" x14ac:dyDescent="0.3">
      <c r="A2" t="s">
        <v>11</v>
      </c>
      <c r="B2" t="s">
        <v>12</v>
      </c>
      <c r="C2" t="s">
        <v>13</v>
      </c>
      <c r="D2" t="str">
        <f>CONCATENATE(Tabla2[[#This Row],[Nombre]]," ",Tabla2[[#This Row],[Apellido 1]]," ",Tabla2[[#This Row],[Apellido 2]])</f>
        <v>Armando Pérez Ruíz</v>
      </c>
      <c r="E2" s="1">
        <v>37908</v>
      </c>
      <c r="F2">
        <f ca="1">INT((TODAY()-Tabla2[[#This Row],[Fecha de nacimiento]])/365.25)</f>
        <v>21</v>
      </c>
      <c r="G2" s="1">
        <v>44682</v>
      </c>
      <c r="H2">
        <f ca="1">INT((TODAY()-Tabla2[[#This Row],[Fecha
Ingreso]])/365.25)</f>
        <v>2</v>
      </c>
      <c r="I2">
        <f ca="1">INT(Tabla2[[#This Row],[Antigüedad]]/3)</f>
        <v>0</v>
      </c>
      <c r="J2" s="9">
        <v>1115</v>
      </c>
      <c r="K2" t="s">
        <v>70</v>
      </c>
      <c r="L2" s="9">
        <f>IF(Tabla2[[#This Row],[Localidad
Destino]]="Lepe",55,(IF(Tabla2[[#This Row],[Localidad
Destino]]="Madrid",90,(IF(Tabla2[[#This Row],[Localidad
Destino]]="Sevilla",60,0)))))</f>
        <v>55</v>
      </c>
      <c r="M2" s="9">
        <f ca="1">Tabla2[[#This Row],[Trienios]]*87.5</f>
        <v>0</v>
      </c>
      <c r="N2" s="9">
        <f>IF(Tabla2[[#This Row],[Fijo]]=TRUE,50,0)</f>
        <v>0</v>
      </c>
      <c r="O2" s="10">
        <f ca="1">Tabla2[[#This Row],[Sueldo]]+Tabla2[[#This Row],[Complemento
Destino]]+Tabla2[[#This Row],[Complemento
Antigüedad]]+Tabla2[[#This Row],[Complemento
Fijo]]</f>
        <v>1170</v>
      </c>
      <c r="P2" s="12">
        <f ca="1">IF(Tabla2[[#This Row],[Sueldo Bruto]]&gt;=2000,20%,IF(Tabla2[[#This Row],[Sueldo Bruto]]&gt;=1500,15%,10%))</f>
        <v>0.1</v>
      </c>
      <c r="Q2" s="10">
        <f ca="1">Tabla2[[#This Row],[Sueldo Bruto]]-(Tabla2[[#This Row],[Sueldo Bruto]]*Tabla2[[#This Row],[IRPF]])</f>
        <v>1053</v>
      </c>
      <c r="R2" s="13" t="b">
        <v>0</v>
      </c>
    </row>
    <row r="3" spans="1:18" x14ac:dyDescent="0.3">
      <c r="A3" t="s">
        <v>15</v>
      </c>
      <c r="B3" t="s">
        <v>16</v>
      </c>
      <c r="C3" t="s">
        <v>17</v>
      </c>
      <c r="D3" t="str">
        <f>CONCATENATE(Tabla2[[#This Row],[Nombre]]," ",Tabla2[[#This Row],[Apellido 1]]," ",Tabla2[[#This Row],[Apellido 2]])</f>
        <v>Susana Rodríguez Sánchez</v>
      </c>
      <c r="E3" s="1">
        <v>34898</v>
      </c>
      <c r="F3">
        <f ca="1">INT((TODAY()-Tabla2[[#This Row],[Fecha de nacimiento]])/365.25)</f>
        <v>29</v>
      </c>
      <c r="G3" s="1">
        <v>42781</v>
      </c>
      <c r="H3">
        <f ca="1">INT((TODAY()-Tabla2[[#This Row],[Fecha
Ingreso]])/365.25)</f>
        <v>7</v>
      </c>
      <c r="I3">
        <f ca="1">INT(Tabla2[[#This Row],[Antigüedad]]/3)</f>
        <v>2</v>
      </c>
      <c r="J3" s="9">
        <v>1525</v>
      </c>
      <c r="K3" t="s">
        <v>69</v>
      </c>
      <c r="L3" s="7">
        <f>IF(Tabla2[[#This Row],[Localidad
Destino]]="Lepe",55,(IF(Tabla2[[#This Row],[Localidad
Destino]]="Madrid",90,(IF(Tabla2[[#This Row],[Localidad
Destino]]="Sevilla",60,0)))))</f>
        <v>90</v>
      </c>
      <c r="M3" s="9">
        <f ca="1">Tabla2[[#This Row],[Trienios]]*87.5</f>
        <v>175</v>
      </c>
      <c r="N3" s="9">
        <f>IF(Tabla2[[#This Row],[Fijo]]=TRUE,50,0)</f>
        <v>50</v>
      </c>
      <c r="O3" s="10">
        <f ca="1">Tabla2[[#This Row],[Sueldo]]+Tabla2[[#This Row],[Complemento
Destino]]+Tabla2[[#This Row],[Complemento
Antigüedad]]+Tabla2[[#This Row],[Complemento
Fijo]]</f>
        <v>1840</v>
      </c>
      <c r="P3" s="12">
        <f ca="1">IF(Tabla2[[#This Row],[Sueldo Bruto]]&gt;=2000,20%,IF(Tabla2[[#This Row],[Sueldo Bruto]]&gt;=1500,15%,10%))</f>
        <v>0.15</v>
      </c>
      <c r="Q3" s="10">
        <f ca="1">Tabla2[[#This Row],[Sueldo Bruto]]-(Tabla2[[#This Row],[Sueldo Bruto]]*Tabla2[[#This Row],[IRPF]])</f>
        <v>1564</v>
      </c>
      <c r="R3" s="13" t="b">
        <v>1</v>
      </c>
    </row>
    <row r="4" spans="1:18" x14ac:dyDescent="0.3">
      <c r="A4" t="s">
        <v>18</v>
      </c>
      <c r="B4" t="s">
        <v>34</v>
      </c>
      <c r="C4" t="s">
        <v>35</v>
      </c>
      <c r="D4" t="str">
        <f>CONCATENATE(Tabla2[[#This Row],[Nombre]]," ",Tabla2[[#This Row],[Apellido 1]]," ",Tabla2[[#This Row],[Apellido 2]])</f>
        <v>José Luis Mena Hernández</v>
      </c>
      <c r="E4" s="1">
        <v>29378</v>
      </c>
      <c r="F4">
        <f ca="1">INT((TODAY()-Tabla2[[#This Row],[Fecha de nacimiento]])/365.25)</f>
        <v>44</v>
      </c>
      <c r="G4" s="1">
        <v>38474</v>
      </c>
      <c r="H4">
        <f ca="1">INT((TODAY()-Tabla2[[#This Row],[Fecha
Ingreso]])/365.25)</f>
        <v>19</v>
      </c>
      <c r="I4">
        <f ca="1">INT(Tabla2[[#This Row],[Antigüedad]]/3)</f>
        <v>6</v>
      </c>
      <c r="J4" s="9">
        <v>2050.5</v>
      </c>
      <c r="K4" t="s">
        <v>67</v>
      </c>
      <c r="L4" s="7">
        <f>IF(Tabla2[[#This Row],[Localidad
Destino]]="Lepe",55,(IF(Tabla2[[#This Row],[Localidad
Destino]]="Madrid",90,(IF(Tabla2[[#This Row],[Localidad
Destino]]="Sevilla",60,0)))))</f>
        <v>0</v>
      </c>
      <c r="M4" s="9">
        <f ca="1">Tabla2[[#This Row],[Trienios]]*87.5</f>
        <v>525</v>
      </c>
      <c r="N4" s="9">
        <f>IF(Tabla2[[#This Row],[Fijo]]=TRUE,50,0)</f>
        <v>50</v>
      </c>
      <c r="O4" s="10">
        <f ca="1">Tabla2[[#This Row],[Sueldo]]+Tabla2[[#This Row],[Complemento
Destino]]+Tabla2[[#This Row],[Complemento
Antigüedad]]+Tabla2[[#This Row],[Complemento
Fijo]]</f>
        <v>2625.5</v>
      </c>
      <c r="P4" s="12">
        <f ca="1">IF(Tabla2[[#This Row],[Sueldo Bruto]]&gt;=2000,20%,IF(Tabla2[[#This Row],[Sueldo Bruto]]&gt;=1500,15%,10%))</f>
        <v>0.2</v>
      </c>
      <c r="Q4" s="10">
        <f ca="1">Tabla2[[#This Row],[Sueldo Bruto]]-(Tabla2[[#This Row],[Sueldo Bruto]]*Tabla2[[#This Row],[IRPF]])</f>
        <v>2100.4</v>
      </c>
      <c r="R4" s="13" t="b">
        <v>1</v>
      </c>
    </row>
    <row r="5" spans="1:18" x14ac:dyDescent="0.3">
      <c r="A5" t="s">
        <v>19</v>
      </c>
      <c r="B5" t="s">
        <v>16</v>
      </c>
      <c r="C5" t="s">
        <v>36</v>
      </c>
      <c r="D5" t="str">
        <f>CONCATENATE(Tabla2[[#This Row],[Nombre]]," ",Tabla2[[#This Row],[Apellido 1]]," ",Tabla2[[#This Row],[Apellido 2]])</f>
        <v>Álvaro Rodríguez Ruiz</v>
      </c>
      <c r="E5" s="1">
        <v>36238</v>
      </c>
      <c r="F5">
        <f ca="1">INT((TODAY()-Tabla2[[#This Row],[Fecha de nacimiento]])/365.25)</f>
        <v>25</v>
      </c>
      <c r="G5" s="1">
        <v>43744</v>
      </c>
      <c r="H5">
        <f ca="1">INT((TODAY()-Tabla2[[#This Row],[Fecha
Ingreso]])/365.25)</f>
        <v>5</v>
      </c>
      <c r="I5">
        <f ca="1">INT(Tabla2[[#This Row],[Antigüedad]]/3)</f>
        <v>1</v>
      </c>
      <c r="J5" s="9">
        <v>1300</v>
      </c>
      <c r="K5" t="s">
        <v>68</v>
      </c>
      <c r="L5" s="7">
        <f>IF(Tabla2[[#This Row],[Localidad
Destino]]="Lepe",55,(IF(Tabla2[[#This Row],[Localidad
Destino]]="Madrid",90,(IF(Tabla2[[#This Row],[Localidad
Destino]]="Sevilla",60,0)))))</f>
        <v>60</v>
      </c>
      <c r="M5" s="9">
        <f ca="1">Tabla2[[#This Row],[Trienios]]*87.5</f>
        <v>87.5</v>
      </c>
      <c r="N5" s="9">
        <f>IF(Tabla2[[#This Row],[Fijo]]=TRUE,50,0)</f>
        <v>0</v>
      </c>
      <c r="O5" s="10">
        <f ca="1">Tabla2[[#This Row],[Sueldo]]+Tabla2[[#This Row],[Complemento
Destino]]+Tabla2[[#This Row],[Complemento
Antigüedad]]+Tabla2[[#This Row],[Complemento
Fijo]]</f>
        <v>1447.5</v>
      </c>
      <c r="P5" s="12">
        <f ca="1">IF(Tabla2[[#This Row],[Sueldo Bruto]]&gt;=2000,20%,IF(Tabla2[[#This Row],[Sueldo Bruto]]&gt;=1500,15%,10%))</f>
        <v>0.1</v>
      </c>
      <c r="Q5" s="10">
        <f ca="1">Tabla2[[#This Row],[Sueldo Bruto]]-(Tabla2[[#This Row],[Sueldo Bruto]]*Tabla2[[#This Row],[IRPF]])</f>
        <v>1302.75</v>
      </c>
      <c r="R5" s="13"/>
    </row>
    <row r="6" spans="1:18" x14ac:dyDescent="0.3">
      <c r="A6" t="s">
        <v>20</v>
      </c>
      <c r="B6" t="s">
        <v>37</v>
      </c>
      <c r="C6" t="s">
        <v>38</v>
      </c>
      <c r="D6" t="str">
        <f>CONCATENATE(Tabla2[[#This Row],[Nombre]]," ",Tabla2[[#This Row],[Apellido 1]]," ",Tabla2[[#This Row],[Apellido 2]])</f>
        <v>Maricarmen Martínez López</v>
      </c>
      <c r="E6" s="1">
        <v>37239</v>
      </c>
      <c r="F6">
        <f ca="1">INT((TODAY()-Tabla2[[#This Row],[Fecha de nacimiento]])/365.25)</f>
        <v>22</v>
      </c>
      <c r="G6" s="1">
        <v>45038</v>
      </c>
      <c r="H6">
        <f ca="1">INT((TODAY()-Tabla2[[#This Row],[Fecha
Ingreso]])/365.25)</f>
        <v>1</v>
      </c>
      <c r="I6">
        <f ca="1">INT(Tabla2[[#This Row],[Antigüedad]]/3)</f>
        <v>0</v>
      </c>
      <c r="J6" s="9">
        <v>1080</v>
      </c>
      <c r="K6" t="s">
        <v>67</v>
      </c>
      <c r="L6" s="7">
        <f>IF(Tabla2[[#This Row],[Localidad
Destino]]="Lepe",55,(IF(Tabla2[[#This Row],[Localidad
Destino]]="Madrid",90,(IF(Tabla2[[#This Row],[Localidad
Destino]]="Sevilla",60,0)))))</f>
        <v>0</v>
      </c>
      <c r="M6" s="9">
        <f ca="1">Tabla2[[#This Row],[Trienios]]*87.5</f>
        <v>0</v>
      </c>
      <c r="N6" s="9">
        <f>IF(Tabla2[[#This Row],[Fijo]]=TRUE,50,0)</f>
        <v>0</v>
      </c>
      <c r="O6" s="10">
        <f ca="1">Tabla2[[#This Row],[Sueldo]]+Tabla2[[#This Row],[Complemento
Destino]]+Tabla2[[#This Row],[Complemento
Antigüedad]]+Tabla2[[#This Row],[Complemento
Fijo]]</f>
        <v>1080</v>
      </c>
      <c r="P6" s="12">
        <f ca="1">IF(Tabla2[[#This Row],[Sueldo Bruto]]&gt;=2000,20%,IF(Tabla2[[#This Row],[Sueldo Bruto]]&gt;=1500,15%,10%))</f>
        <v>0.1</v>
      </c>
      <c r="Q6" s="10">
        <f ca="1">Tabla2[[#This Row],[Sueldo Bruto]]-(Tabla2[[#This Row],[Sueldo Bruto]]*Tabla2[[#This Row],[IRPF]])</f>
        <v>972</v>
      </c>
      <c r="R6" s="13" t="b">
        <v>0</v>
      </c>
    </row>
    <row r="7" spans="1:18" x14ac:dyDescent="0.3">
      <c r="A7" t="s">
        <v>21</v>
      </c>
      <c r="B7" t="s">
        <v>39</v>
      </c>
      <c r="C7" t="s">
        <v>40</v>
      </c>
      <c r="D7" t="str">
        <f>CONCATENATE(Tabla2[[#This Row],[Nombre]]," ",Tabla2[[#This Row],[Apellido 1]]," ",Tabla2[[#This Row],[Apellido 2]])</f>
        <v>Alberto Romero Gutiérrez</v>
      </c>
      <c r="E7" s="1">
        <v>32332</v>
      </c>
      <c r="F7">
        <f ca="1">INT((TODAY()-Tabla2[[#This Row],[Fecha de nacimiento]])/365.25)</f>
        <v>36</v>
      </c>
      <c r="G7" s="1">
        <v>43176</v>
      </c>
      <c r="H7">
        <f ca="1">INT((TODAY()-Tabla2[[#This Row],[Fecha
Ingreso]])/365.25)</f>
        <v>6</v>
      </c>
      <c r="I7">
        <f ca="1">INT(Tabla2[[#This Row],[Antigüedad]]/3)</f>
        <v>2</v>
      </c>
      <c r="J7" s="9">
        <v>1100</v>
      </c>
      <c r="K7" t="s">
        <v>69</v>
      </c>
      <c r="L7" s="7">
        <f>IF(Tabla2[[#This Row],[Localidad
Destino]]="Lepe",55,(IF(Tabla2[[#This Row],[Localidad
Destino]]="Madrid",90,(IF(Tabla2[[#This Row],[Localidad
Destino]]="Sevilla",60,0)))))</f>
        <v>90</v>
      </c>
      <c r="M7" s="9">
        <f ca="1">Tabla2[[#This Row],[Trienios]]*87.5</f>
        <v>175</v>
      </c>
      <c r="N7" s="9">
        <f>IF(Tabla2[[#This Row],[Fijo]]=TRUE,50,0)</f>
        <v>50</v>
      </c>
      <c r="O7" s="10">
        <f ca="1">Tabla2[[#This Row],[Sueldo]]+Tabla2[[#This Row],[Complemento
Destino]]+Tabla2[[#This Row],[Complemento
Antigüedad]]+Tabla2[[#This Row],[Complemento
Fijo]]</f>
        <v>1415</v>
      </c>
      <c r="P7" s="12">
        <f ca="1">IF(Tabla2[[#This Row],[Sueldo Bruto]]&gt;=2000,20%,IF(Tabla2[[#This Row],[Sueldo Bruto]]&gt;=1500,15%,10%))</f>
        <v>0.1</v>
      </c>
      <c r="Q7" s="10">
        <f ca="1">Tabla2[[#This Row],[Sueldo Bruto]]-(Tabla2[[#This Row],[Sueldo Bruto]]*Tabla2[[#This Row],[IRPF]])</f>
        <v>1273.5</v>
      </c>
      <c r="R7" s="13" t="b">
        <v>1</v>
      </c>
    </row>
    <row r="8" spans="1:18" x14ac:dyDescent="0.3">
      <c r="A8" t="s">
        <v>22</v>
      </c>
      <c r="B8" t="s">
        <v>41</v>
      </c>
      <c r="C8" t="s">
        <v>42</v>
      </c>
      <c r="D8" t="str">
        <f>CONCATENATE(Tabla2[[#This Row],[Nombre]]," ",Tabla2[[#This Row],[Apellido 1]]," ",Tabla2[[#This Row],[Apellido 2]])</f>
        <v>Lucía Alonso Ramírez</v>
      </c>
      <c r="E8" s="1">
        <v>36098</v>
      </c>
      <c r="F8">
        <f ca="1">INT((TODAY()-Tabla2[[#This Row],[Fecha de nacimiento]])/365.25)</f>
        <v>26</v>
      </c>
      <c r="G8" s="1">
        <v>44018</v>
      </c>
      <c r="H8">
        <f ca="1">INT((TODAY()-Tabla2[[#This Row],[Fecha
Ingreso]])/365.25)</f>
        <v>4</v>
      </c>
      <c r="I8">
        <f ca="1">INT(Tabla2[[#This Row],[Antigüedad]]/3)</f>
        <v>1</v>
      </c>
      <c r="J8" s="9">
        <v>1080</v>
      </c>
      <c r="K8" t="s">
        <v>67</v>
      </c>
      <c r="L8" s="7">
        <f>IF(Tabla2[[#This Row],[Localidad
Destino]]="Lepe",55,(IF(Tabla2[[#This Row],[Localidad
Destino]]="Madrid",90,(IF(Tabla2[[#This Row],[Localidad
Destino]]="Sevilla",60,0)))))</f>
        <v>0</v>
      </c>
      <c r="M8" s="9">
        <f ca="1">Tabla2[[#This Row],[Trienios]]*87.5</f>
        <v>87.5</v>
      </c>
      <c r="N8" s="9">
        <f>IF(Tabla2[[#This Row],[Fijo]]=TRUE,50,0)</f>
        <v>0</v>
      </c>
      <c r="O8" s="10">
        <f ca="1">Tabla2[[#This Row],[Sueldo]]+Tabla2[[#This Row],[Complemento
Destino]]+Tabla2[[#This Row],[Complemento
Antigüedad]]+Tabla2[[#This Row],[Complemento
Fijo]]</f>
        <v>1167.5</v>
      </c>
      <c r="P8" s="12">
        <f ca="1">IF(Tabla2[[#This Row],[Sueldo Bruto]]&gt;=2000,20%,IF(Tabla2[[#This Row],[Sueldo Bruto]]&gt;=1500,15%,10%))</f>
        <v>0.1</v>
      </c>
      <c r="Q8" s="10">
        <f ca="1">Tabla2[[#This Row],[Sueldo Bruto]]-(Tabla2[[#This Row],[Sueldo Bruto]]*Tabla2[[#This Row],[IRPF]])</f>
        <v>1050.75</v>
      </c>
      <c r="R8" s="13"/>
    </row>
    <row r="9" spans="1:18" x14ac:dyDescent="0.3">
      <c r="A9" t="s">
        <v>23</v>
      </c>
      <c r="B9" t="s">
        <v>55</v>
      </c>
      <c r="C9" t="s">
        <v>35</v>
      </c>
      <c r="D9" t="str">
        <f>CONCATENATE(Tabla2[[#This Row],[Nombre]]," ",Tabla2[[#This Row],[Apellido 1]]," ",Tabla2[[#This Row],[Apellido 2]])</f>
        <v>María de la Paz Díaz Hernández</v>
      </c>
      <c r="E9" s="1">
        <v>26445</v>
      </c>
      <c r="F9">
        <f ca="1">INT((TODAY()-Tabla2[[#This Row],[Fecha de nacimiento]])/365.25)</f>
        <v>52</v>
      </c>
      <c r="G9" s="1">
        <v>37027</v>
      </c>
      <c r="H9">
        <f ca="1">INT((TODAY()-Tabla2[[#This Row],[Fecha
Ingreso]])/365.25)</f>
        <v>23</v>
      </c>
      <c r="I9">
        <f ca="1">INT(Tabla2[[#This Row],[Antigüedad]]/3)</f>
        <v>7</v>
      </c>
      <c r="J9" s="9">
        <v>2250</v>
      </c>
      <c r="K9" t="s">
        <v>68</v>
      </c>
      <c r="L9" s="7">
        <f>IF(Tabla2[[#This Row],[Localidad
Destino]]="Lepe",55,(IF(Tabla2[[#This Row],[Localidad
Destino]]="Madrid",90,(IF(Tabla2[[#This Row],[Localidad
Destino]]="Sevilla",60,0)))))</f>
        <v>60</v>
      </c>
      <c r="M9" s="9">
        <f ca="1">Tabla2[[#This Row],[Trienios]]*87.5</f>
        <v>612.5</v>
      </c>
      <c r="N9" s="9">
        <f>IF(Tabla2[[#This Row],[Fijo]]=TRUE,50,0)</f>
        <v>50</v>
      </c>
      <c r="O9" s="10">
        <f ca="1">Tabla2[[#This Row],[Sueldo]]+Tabla2[[#This Row],[Complemento
Destino]]+Tabla2[[#This Row],[Complemento
Antigüedad]]+Tabla2[[#This Row],[Complemento
Fijo]]</f>
        <v>2972.5</v>
      </c>
      <c r="P9" s="12">
        <f ca="1">IF(Tabla2[[#This Row],[Sueldo Bruto]]&gt;=2000,20%,IF(Tabla2[[#This Row],[Sueldo Bruto]]&gt;=1500,15%,10%))</f>
        <v>0.2</v>
      </c>
      <c r="Q9" s="10">
        <f ca="1">Tabla2[[#This Row],[Sueldo Bruto]]-(Tabla2[[#This Row],[Sueldo Bruto]]*Tabla2[[#This Row],[IRPF]])</f>
        <v>2378</v>
      </c>
      <c r="R9" s="13" t="b">
        <v>1</v>
      </c>
    </row>
    <row r="10" spans="1:18" x14ac:dyDescent="0.3">
      <c r="A10" t="s">
        <v>24</v>
      </c>
      <c r="B10" t="s">
        <v>44</v>
      </c>
      <c r="C10" t="s">
        <v>17</v>
      </c>
      <c r="D10" t="str">
        <f>CONCATENATE(Tabla2[[#This Row],[Nombre]]," ",Tabla2[[#This Row],[Apellido 1]]," ",Tabla2[[#This Row],[Apellido 2]])</f>
        <v>Francisco Gómez Sánchez</v>
      </c>
      <c r="E10" s="1">
        <v>34651</v>
      </c>
      <c r="F10">
        <f ca="1">INT((TODAY()-Tabla2[[#This Row],[Fecha de nacimiento]])/365.25)</f>
        <v>29</v>
      </c>
      <c r="G10" s="1">
        <v>42248</v>
      </c>
      <c r="H10">
        <f ca="1">INT((TODAY()-Tabla2[[#This Row],[Fecha
Ingreso]])/365.25)</f>
        <v>9</v>
      </c>
      <c r="I10">
        <f ca="1">INT(Tabla2[[#This Row],[Antigüedad]]/3)</f>
        <v>3</v>
      </c>
      <c r="J10" s="9">
        <v>1800</v>
      </c>
      <c r="K10" t="s">
        <v>68</v>
      </c>
      <c r="L10" s="7">
        <f>IF(Tabla2[[#This Row],[Localidad
Destino]]="Lepe",55,(IF(Tabla2[[#This Row],[Localidad
Destino]]="Madrid",90,(IF(Tabla2[[#This Row],[Localidad
Destino]]="Sevilla",60,0)))))</f>
        <v>60</v>
      </c>
      <c r="M10" s="9">
        <f ca="1">Tabla2[[#This Row],[Trienios]]*87.5</f>
        <v>262.5</v>
      </c>
      <c r="N10" s="9">
        <f>IF(Tabla2[[#This Row],[Fijo]]=TRUE,50,0)</f>
        <v>50</v>
      </c>
      <c r="O10" s="10">
        <f ca="1">Tabla2[[#This Row],[Sueldo]]+Tabla2[[#This Row],[Complemento
Destino]]+Tabla2[[#This Row],[Complemento
Antigüedad]]+Tabla2[[#This Row],[Complemento
Fijo]]</f>
        <v>2172.5</v>
      </c>
      <c r="P10" s="12">
        <f ca="1">IF(Tabla2[[#This Row],[Sueldo Bruto]]&gt;=2000,20%,IF(Tabla2[[#This Row],[Sueldo Bruto]]&gt;=1500,15%,10%))</f>
        <v>0.2</v>
      </c>
      <c r="Q10" s="10">
        <f ca="1">Tabla2[[#This Row],[Sueldo Bruto]]-(Tabla2[[#This Row],[Sueldo Bruto]]*Tabla2[[#This Row],[IRPF]])</f>
        <v>1738</v>
      </c>
      <c r="R10" s="13" t="b">
        <v>1</v>
      </c>
    </row>
    <row r="11" spans="1:18" x14ac:dyDescent="0.3">
      <c r="A11" t="s">
        <v>25</v>
      </c>
      <c r="B11" t="s">
        <v>45</v>
      </c>
      <c r="C11" t="s">
        <v>46</v>
      </c>
      <c r="D11" t="str">
        <f>CONCATENATE(Tabla2[[#This Row],[Nombre]]," ",Tabla2[[#This Row],[Apellido 1]]," ",Tabla2[[#This Row],[Apellido 2]])</f>
        <v>Cristina de Oliveira Carvalho</v>
      </c>
      <c r="E11" s="1">
        <v>32814</v>
      </c>
      <c r="F11">
        <f ca="1">INT((TODAY()-Tabla2[[#This Row],[Fecha de nacimiento]])/365.25)</f>
        <v>35</v>
      </c>
      <c r="G11" s="1">
        <v>42366</v>
      </c>
      <c r="H11">
        <f ca="1">INT((TODAY()-Tabla2[[#This Row],[Fecha
Ingreso]])/365.25)</f>
        <v>8</v>
      </c>
      <c r="I11">
        <f ca="1">INT(Tabla2[[#This Row],[Antigüedad]]/3)</f>
        <v>2</v>
      </c>
      <c r="J11" s="9">
        <v>1680</v>
      </c>
      <c r="K11" t="s">
        <v>67</v>
      </c>
      <c r="L11" s="7">
        <f>IF(Tabla2[[#This Row],[Localidad
Destino]]="Lepe",55,(IF(Tabla2[[#This Row],[Localidad
Destino]]="Madrid",90,(IF(Tabla2[[#This Row],[Localidad
Destino]]="Sevilla",60,0)))))</f>
        <v>0</v>
      </c>
      <c r="M11" s="9">
        <f ca="1">Tabla2[[#This Row],[Trienios]]*87.5</f>
        <v>175</v>
      </c>
      <c r="N11" s="9">
        <f>IF(Tabla2[[#This Row],[Fijo]]=TRUE,50,0)</f>
        <v>50</v>
      </c>
      <c r="O11" s="10">
        <f ca="1">Tabla2[[#This Row],[Sueldo]]+Tabla2[[#This Row],[Complemento
Destino]]+Tabla2[[#This Row],[Complemento
Antigüedad]]+Tabla2[[#This Row],[Complemento
Fijo]]</f>
        <v>1905</v>
      </c>
      <c r="P11" s="12">
        <f ca="1">IF(Tabla2[[#This Row],[Sueldo Bruto]]&gt;=2000,20%,IF(Tabla2[[#This Row],[Sueldo Bruto]]&gt;=1500,15%,10%))</f>
        <v>0.15</v>
      </c>
      <c r="Q11" s="10">
        <f ca="1">Tabla2[[#This Row],[Sueldo Bruto]]-(Tabla2[[#This Row],[Sueldo Bruto]]*Tabla2[[#This Row],[IRPF]])</f>
        <v>1619.25</v>
      </c>
      <c r="R11" s="13" t="b">
        <v>1</v>
      </c>
    </row>
    <row r="12" spans="1:18" x14ac:dyDescent="0.3">
      <c r="A12" t="s">
        <v>26</v>
      </c>
      <c r="B12" t="s">
        <v>47</v>
      </c>
      <c r="C12" t="s">
        <v>48</v>
      </c>
      <c r="D12" t="str">
        <f>CONCATENATE(Tabla2[[#This Row],[Nombre]]," ",Tabla2[[#This Row],[Apellido 1]]," ",Tabla2[[#This Row],[Apellido 2]])</f>
        <v>Rosario Vásquez García</v>
      </c>
      <c r="E12" s="1">
        <v>37289</v>
      </c>
      <c r="F12">
        <f ca="1">INT((TODAY()-Tabla2[[#This Row],[Fecha de nacimiento]])/365.25)</f>
        <v>22</v>
      </c>
      <c r="G12" s="1">
        <v>45474</v>
      </c>
      <c r="H12">
        <f ca="1">INT((TODAY()-Tabla2[[#This Row],[Fecha
Ingreso]])/365.25)</f>
        <v>0</v>
      </c>
      <c r="I12">
        <f ca="1">INT(Tabla2[[#This Row],[Antigüedad]]/3)</f>
        <v>0</v>
      </c>
      <c r="J12" s="9">
        <v>1080</v>
      </c>
      <c r="K12" t="s">
        <v>70</v>
      </c>
      <c r="L12" s="7">
        <f>IF(Tabla2[[#This Row],[Localidad
Destino]]="Lepe",55,(IF(Tabla2[[#This Row],[Localidad
Destino]]="Madrid",90,(IF(Tabla2[[#This Row],[Localidad
Destino]]="Sevilla",60,0)))))</f>
        <v>55</v>
      </c>
      <c r="M12" s="9">
        <f ca="1">Tabla2[[#This Row],[Trienios]]*87.5</f>
        <v>0</v>
      </c>
      <c r="N12" s="9">
        <f>IF(Tabla2[[#This Row],[Fijo]]=TRUE,50,0)</f>
        <v>0</v>
      </c>
      <c r="O12" s="10">
        <f ca="1">Tabla2[[#This Row],[Sueldo]]+Tabla2[[#This Row],[Complemento
Destino]]+Tabla2[[#This Row],[Complemento
Antigüedad]]+Tabla2[[#This Row],[Complemento
Fijo]]</f>
        <v>1135</v>
      </c>
      <c r="P12" s="12">
        <f ca="1">IF(Tabla2[[#This Row],[Sueldo Bruto]]&gt;=2000,20%,IF(Tabla2[[#This Row],[Sueldo Bruto]]&gt;=1500,15%,10%))</f>
        <v>0.1</v>
      </c>
      <c r="Q12" s="10">
        <f ca="1">Tabla2[[#This Row],[Sueldo Bruto]]-(Tabla2[[#This Row],[Sueldo Bruto]]*Tabla2[[#This Row],[IRPF]])</f>
        <v>1021.5</v>
      </c>
      <c r="R12" s="13" t="b">
        <v>0</v>
      </c>
    </row>
    <row r="13" spans="1:18" x14ac:dyDescent="0.3">
      <c r="A13" t="s">
        <v>15</v>
      </c>
      <c r="B13" t="s">
        <v>49</v>
      </c>
      <c r="C13" t="s">
        <v>50</v>
      </c>
      <c r="D13" t="str">
        <f>CONCATENATE(Tabla2[[#This Row],[Nombre]]," ",Tabla2[[#This Row],[Apellido 1]]," ",Tabla2[[#This Row],[Apellido 2]])</f>
        <v>Susana Torres Azuaje</v>
      </c>
      <c r="E13" s="1">
        <v>38383</v>
      </c>
      <c r="F13">
        <f ca="1">INT((TODAY()-Tabla2[[#This Row],[Fecha de nacimiento]])/365.25)</f>
        <v>19</v>
      </c>
      <c r="G13" s="1">
        <v>45141</v>
      </c>
      <c r="H13">
        <f ca="1">INT((TODAY()-Tabla2[[#This Row],[Fecha
Ingreso]])/365.25)</f>
        <v>1</v>
      </c>
      <c r="I13">
        <f ca="1">INT(Tabla2[[#This Row],[Antigüedad]]/3)</f>
        <v>0</v>
      </c>
      <c r="J13" s="9">
        <v>1125</v>
      </c>
      <c r="K13" t="s">
        <v>69</v>
      </c>
      <c r="L13" s="7">
        <f>IF(Tabla2[[#This Row],[Localidad
Destino]]="Lepe",55,(IF(Tabla2[[#This Row],[Localidad
Destino]]="Madrid",90,(IF(Tabla2[[#This Row],[Localidad
Destino]]="Sevilla",60,0)))))</f>
        <v>90</v>
      </c>
      <c r="M13" s="9">
        <f ca="1">Tabla2[[#This Row],[Trienios]]*87.5</f>
        <v>0</v>
      </c>
      <c r="N13" s="9">
        <f>IF(Tabla2[[#This Row],[Fijo]]=TRUE,50,0)</f>
        <v>0</v>
      </c>
      <c r="O13" s="10">
        <f ca="1">Tabla2[[#This Row],[Sueldo]]+Tabla2[[#This Row],[Complemento
Destino]]+Tabla2[[#This Row],[Complemento
Antigüedad]]+Tabla2[[#This Row],[Complemento
Fijo]]</f>
        <v>1215</v>
      </c>
      <c r="P13" s="12">
        <f ca="1">IF(Tabla2[[#This Row],[Sueldo Bruto]]&gt;=2000,20%,IF(Tabla2[[#This Row],[Sueldo Bruto]]&gt;=1500,15%,10%))</f>
        <v>0.1</v>
      </c>
      <c r="Q13" s="10">
        <f ca="1">Tabla2[[#This Row],[Sueldo Bruto]]-(Tabla2[[#This Row],[Sueldo Bruto]]*Tabla2[[#This Row],[IRPF]])</f>
        <v>1093.5</v>
      </c>
      <c r="R13" s="13" t="b">
        <v>0</v>
      </c>
    </row>
    <row r="14" spans="1:18" x14ac:dyDescent="0.3">
      <c r="A14" t="s">
        <v>27</v>
      </c>
      <c r="B14" t="s">
        <v>51</v>
      </c>
      <c r="C14" t="s">
        <v>49</v>
      </c>
      <c r="D14" t="str">
        <f>CONCATENATE(Tabla2[[#This Row],[Nombre]]," ",Tabla2[[#This Row],[Apellido 1]]," ",Tabla2[[#This Row],[Apellido 2]])</f>
        <v>Eva González Torres</v>
      </c>
      <c r="E14" s="1">
        <v>33833</v>
      </c>
      <c r="F14">
        <f ca="1">INT((TODAY()-Tabla2[[#This Row],[Fecha de nacimiento]])/365.25)</f>
        <v>32</v>
      </c>
      <c r="G14" s="1">
        <v>43763</v>
      </c>
      <c r="H14">
        <f ca="1">INT((TODAY()-Tabla2[[#This Row],[Fecha
Ingreso]])/365.25)</f>
        <v>5</v>
      </c>
      <c r="I14">
        <f ca="1">INT(Tabla2[[#This Row],[Antigüedad]]/3)</f>
        <v>1</v>
      </c>
      <c r="J14" s="9">
        <v>1450</v>
      </c>
      <c r="K14" t="s">
        <v>68</v>
      </c>
      <c r="L14" s="7">
        <f>IF(Tabla2[[#This Row],[Localidad
Destino]]="Lepe",55,(IF(Tabla2[[#This Row],[Localidad
Destino]]="Madrid",90,(IF(Tabla2[[#This Row],[Localidad
Destino]]="Sevilla",60,0)))))</f>
        <v>60</v>
      </c>
      <c r="M14" s="9">
        <f ca="1">Tabla2[[#This Row],[Trienios]]*87.5</f>
        <v>87.5</v>
      </c>
      <c r="N14" s="9">
        <f>IF(Tabla2[[#This Row],[Fijo]]=TRUE,50,0)</f>
        <v>0</v>
      </c>
      <c r="O14" s="10">
        <f ca="1">Tabla2[[#This Row],[Sueldo]]+Tabla2[[#This Row],[Complemento
Destino]]+Tabla2[[#This Row],[Complemento
Antigüedad]]+Tabla2[[#This Row],[Complemento
Fijo]]</f>
        <v>1597.5</v>
      </c>
      <c r="P14" s="12">
        <f ca="1">IF(Tabla2[[#This Row],[Sueldo Bruto]]&gt;=2000,20%,IF(Tabla2[[#This Row],[Sueldo Bruto]]&gt;=1500,15%,10%))</f>
        <v>0.15</v>
      </c>
      <c r="Q14" s="10">
        <f ca="1">Tabla2[[#This Row],[Sueldo Bruto]]-(Tabla2[[#This Row],[Sueldo Bruto]]*Tabla2[[#This Row],[IRPF]])</f>
        <v>1357.875</v>
      </c>
      <c r="R14" s="13" t="b">
        <v>0</v>
      </c>
    </row>
    <row r="15" spans="1:18" x14ac:dyDescent="0.3">
      <c r="A15" t="s">
        <v>28</v>
      </c>
      <c r="B15" t="s">
        <v>52</v>
      </c>
      <c r="C15" t="s">
        <v>53</v>
      </c>
      <c r="D15" t="str">
        <f>CONCATENATE(Tabla2[[#This Row],[Nombre]]," ",Tabla2[[#This Row],[Apellido 1]]," ",Tabla2[[#This Row],[Apellido 2]])</f>
        <v>Juan Antonio Jiménez Ortega</v>
      </c>
      <c r="E15" s="1">
        <v>36570</v>
      </c>
      <c r="F15">
        <f ca="1">INT((TODAY()-Tabla2[[#This Row],[Fecha de nacimiento]])/365.25)</f>
        <v>24</v>
      </c>
      <c r="G15" s="1">
        <v>43711</v>
      </c>
      <c r="H15">
        <f ca="1">INT((TODAY()-Tabla2[[#This Row],[Fecha
Ingreso]])/365.25)</f>
        <v>5</v>
      </c>
      <c r="I15">
        <f ca="1">INT(Tabla2[[#This Row],[Antigüedad]]/3)</f>
        <v>1</v>
      </c>
      <c r="J15" s="9">
        <v>1490</v>
      </c>
      <c r="K15" t="s">
        <v>68</v>
      </c>
      <c r="L15" s="7">
        <f>IF(Tabla2[[#This Row],[Localidad
Destino]]="Lepe",55,(IF(Tabla2[[#This Row],[Localidad
Destino]]="Madrid",90,(IF(Tabla2[[#This Row],[Localidad
Destino]]="Sevilla",60,0)))))</f>
        <v>60</v>
      </c>
      <c r="M15" s="9">
        <f ca="1">Tabla2[[#This Row],[Trienios]]*87.5</f>
        <v>87.5</v>
      </c>
      <c r="N15" s="9">
        <f>IF(Tabla2[[#This Row],[Fijo]]=TRUE,50,0)</f>
        <v>0</v>
      </c>
      <c r="O15" s="10">
        <f ca="1">Tabla2[[#This Row],[Sueldo]]+Tabla2[[#This Row],[Complemento
Destino]]+Tabla2[[#This Row],[Complemento
Antigüedad]]+Tabla2[[#This Row],[Complemento
Fijo]]</f>
        <v>1637.5</v>
      </c>
      <c r="P15" s="12">
        <f ca="1">IF(Tabla2[[#This Row],[Sueldo Bruto]]&gt;=2000,20%,IF(Tabla2[[#This Row],[Sueldo Bruto]]&gt;=1500,15%,10%))</f>
        <v>0.15</v>
      </c>
      <c r="Q15" s="10">
        <f ca="1">Tabla2[[#This Row],[Sueldo Bruto]]-(Tabla2[[#This Row],[Sueldo Bruto]]*Tabla2[[#This Row],[IRPF]])</f>
        <v>1391.875</v>
      </c>
      <c r="R15" s="13" t="b">
        <v>0</v>
      </c>
    </row>
    <row r="16" spans="1:18" x14ac:dyDescent="0.3">
      <c r="A16" t="s">
        <v>29</v>
      </c>
      <c r="B16" t="s">
        <v>54</v>
      </c>
      <c r="C16" t="s">
        <v>55</v>
      </c>
      <c r="D16" t="str">
        <f>CONCATENATE(Tabla2[[#This Row],[Nombre]]," ",Tabla2[[#This Row],[Apellido 1]]," ",Tabla2[[#This Row],[Apellido 2]])</f>
        <v>Ana Zambrano Díaz</v>
      </c>
      <c r="E16" s="1">
        <v>30050</v>
      </c>
      <c r="F16">
        <f ca="1">INT((TODAY()-Tabla2[[#This Row],[Fecha de nacimiento]])/365.25)</f>
        <v>42</v>
      </c>
      <c r="G16" s="1">
        <v>39309</v>
      </c>
      <c r="H16">
        <f ca="1">INT((TODAY()-Tabla2[[#This Row],[Fecha
Ingreso]])/365.25)</f>
        <v>17</v>
      </c>
      <c r="I16">
        <f ca="1">INT(Tabla2[[#This Row],[Antigüedad]]/3)</f>
        <v>5</v>
      </c>
      <c r="J16" s="9">
        <v>2100</v>
      </c>
      <c r="K16" t="s">
        <v>67</v>
      </c>
      <c r="L16" s="7">
        <f>IF(Tabla2[[#This Row],[Localidad
Destino]]="Lepe",55,(IF(Tabla2[[#This Row],[Localidad
Destino]]="Madrid",90,(IF(Tabla2[[#This Row],[Localidad
Destino]]="Sevilla",60,0)))))</f>
        <v>0</v>
      </c>
      <c r="M16" s="9">
        <f ca="1">Tabla2[[#This Row],[Trienios]]*87.5</f>
        <v>437.5</v>
      </c>
      <c r="N16" s="9">
        <f>IF(Tabla2[[#This Row],[Fijo]]=TRUE,50,0)</f>
        <v>50</v>
      </c>
      <c r="O16" s="10">
        <f ca="1">Tabla2[[#This Row],[Sueldo]]+Tabla2[[#This Row],[Complemento
Destino]]+Tabla2[[#This Row],[Complemento
Antigüedad]]+Tabla2[[#This Row],[Complemento
Fijo]]</f>
        <v>2587.5</v>
      </c>
      <c r="P16" s="12">
        <f ca="1">IF(Tabla2[[#This Row],[Sueldo Bruto]]&gt;=2000,20%,IF(Tabla2[[#This Row],[Sueldo Bruto]]&gt;=1500,15%,10%))</f>
        <v>0.2</v>
      </c>
      <c r="Q16" s="10">
        <f ca="1">Tabla2[[#This Row],[Sueldo Bruto]]-(Tabla2[[#This Row],[Sueldo Bruto]]*Tabla2[[#This Row],[IRPF]])</f>
        <v>2070</v>
      </c>
      <c r="R16" s="13" t="b">
        <v>1</v>
      </c>
    </row>
    <row r="17" spans="1:18" x14ac:dyDescent="0.3">
      <c r="A17" t="s">
        <v>30</v>
      </c>
      <c r="B17" t="s">
        <v>37</v>
      </c>
      <c r="C17" t="s">
        <v>39</v>
      </c>
      <c r="D17" t="str">
        <f>CONCATENATE(Tabla2[[#This Row],[Nombre]]," ",Tabla2[[#This Row],[Apellido 1]]," ",Tabla2[[#This Row],[Apellido 2]])</f>
        <v>Javier Martínez Romero</v>
      </c>
      <c r="E17" s="1">
        <v>31672</v>
      </c>
      <c r="F17">
        <f ca="1">INT((TODAY()-Tabla2[[#This Row],[Fecha de nacimiento]])/365.25)</f>
        <v>38</v>
      </c>
      <c r="G17" s="1">
        <v>41956</v>
      </c>
      <c r="H17">
        <f ca="1">INT((TODAY()-Tabla2[[#This Row],[Fecha
Ingreso]])/365.25)</f>
        <v>9</v>
      </c>
      <c r="I17">
        <f ca="1">INT(Tabla2[[#This Row],[Antigüedad]]/3)</f>
        <v>3</v>
      </c>
      <c r="J17" s="9">
        <v>1850</v>
      </c>
      <c r="K17" t="s">
        <v>70</v>
      </c>
      <c r="L17" s="7">
        <f>IF(Tabla2[[#This Row],[Localidad
Destino]]="Lepe",55,(IF(Tabla2[[#This Row],[Localidad
Destino]]="Madrid",90,(IF(Tabla2[[#This Row],[Localidad
Destino]]="Sevilla",60,0)))))</f>
        <v>55</v>
      </c>
      <c r="M17" s="9">
        <f ca="1">Tabla2[[#This Row],[Trienios]]*87.5</f>
        <v>262.5</v>
      </c>
      <c r="N17" s="9">
        <f>IF(Tabla2[[#This Row],[Fijo]]=TRUE,50,0)</f>
        <v>50</v>
      </c>
      <c r="O17" s="10">
        <f ca="1">Tabla2[[#This Row],[Sueldo]]+Tabla2[[#This Row],[Complemento
Destino]]+Tabla2[[#This Row],[Complemento
Antigüedad]]+Tabla2[[#This Row],[Complemento
Fijo]]</f>
        <v>2217.5</v>
      </c>
      <c r="P17" s="12">
        <f ca="1">IF(Tabla2[[#This Row],[Sueldo Bruto]]&gt;=2000,20%,IF(Tabla2[[#This Row],[Sueldo Bruto]]&gt;=1500,15%,10%))</f>
        <v>0.2</v>
      </c>
      <c r="Q17" s="10">
        <f ca="1">Tabla2[[#This Row],[Sueldo Bruto]]-(Tabla2[[#This Row],[Sueldo Bruto]]*Tabla2[[#This Row],[IRPF]])</f>
        <v>1774</v>
      </c>
      <c r="R17" s="13" t="b">
        <v>1</v>
      </c>
    </row>
    <row r="18" spans="1:18" x14ac:dyDescent="0.3">
      <c r="A18" t="s">
        <v>31</v>
      </c>
      <c r="B18" t="s">
        <v>12</v>
      </c>
      <c r="C18" t="s">
        <v>44</v>
      </c>
      <c r="D18" t="str">
        <f>CONCATENATE(Tabla2[[#This Row],[Nombre]]," ",Tabla2[[#This Row],[Apellido 1]]," ",Tabla2[[#This Row],[Apellido 2]])</f>
        <v>Manuela Pérez Gómez</v>
      </c>
      <c r="E18" s="1">
        <v>37250</v>
      </c>
      <c r="F18">
        <f ca="1">INT((TODAY()-Tabla2[[#This Row],[Fecha de nacimiento]])/365.25)</f>
        <v>22</v>
      </c>
      <c r="G18" s="1">
        <v>44751</v>
      </c>
      <c r="H18">
        <f ca="1">INT((TODAY()-Tabla2[[#This Row],[Fecha
Ingreso]])/365.25)</f>
        <v>2</v>
      </c>
      <c r="I18">
        <f ca="1">INT(Tabla2[[#This Row],[Antigüedad]]/3)</f>
        <v>0</v>
      </c>
      <c r="J18" s="9">
        <v>1200</v>
      </c>
      <c r="K18" t="s">
        <v>69</v>
      </c>
      <c r="L18" s="7">
        <f>IF(Tabla2[[#This Row],[Localidad
Destino]]="Lepe",55,(IF(Tabla2[[#This Row],[Localidad
Destino]]="Madrid",90,(IF(Tabla2[[#This Row],[Localidad
Destino]]="Sevilla",60,0)))))</f>
        <v>90</v>
      </c>
      <c r="M18" s="9">
        <f ca="1">Tabla2[[#This Row],[Trienios]]*87.5</f>
        <v>0</v>
      </c>
      <c r="N18" s="9">
        <f>IF(Tabla2[[#This Row],[Fijo]]=TRUE,50,0)</f>
        <v>0</v>
      </c>
      <c r="O18" s="10">
        <f ca="1">Tabla2[[#This Row],[Sueldo]]+Tabla2[[#This Row],[Complemento
Destino]]+Tabla2[[#This Row],[Complemento
Antigüedad]]+Tabla2[[#This Row],[Complemento
Fijo]]</f>
        <v>1290</v>
      </c>
      <c r="P18" s="12">
        <f ca="1">IF(Tabla2[[#This Row],[Sueldo Bruto]]&gt;=2000,20%,IF(Tabla2[[#This Row],[Sueldo Bruto]]&gt;=1500,15%,10%))</f>
        <v>0.1</v>
      </c>
      <c r="Q18" s="10">
        <f ca="1">Tabla2[[#This Row],[Sueldo Bruto]]-(Tabla2[[#This Row],[Sueldo Bruto]]*Tabla2[[#This Row],[IRPF]])</f>
        <v>1161</v>
      </c>
      <c r="R18" s="13" t="b">
        <v>0</v>
      </c>
    </row>
    <row r="19" spans="1:18" x14ac:dyDescent="0.3">
      <c r="A19" t="s">
        <v>58</v>
      </c>
      <c r="B19" t="s">
        <v>59</v>
      </c>
      <c r="C19" t="s">
        <v>56</v>
      </c>
      <c r="D19" t="str">
        <f>CONCATENATE(Tabla2[[#This Row],[Nombre]]," ",Tabla2[[#This Row],[Apellido 1]]," ",Tabla2[[#This Row],[Apellido 2]])</f>
        <v>Samanta Arévalo Johnson</v>
      </c>
      <c r="E19" s="1">
        <v>33490</v>
      </c>
      <c r="F19">
        <f ca="1">INT((TODAY()-Tabla2[[#This Row],[Fecha de nacimiento]])/365.25)</f>
        <v>33</v>
      </c>
      <c r="G19" s="1">
        <v>42506</v>
      </c>
      <c r="H19">
        <f ca="1">INT((TODAY()-Tabla2[[#This Row],[Fecha
Ingreso]])/365.25)</f>
        <v>8</v>
      </c>
      <c r="I19">
        <f ca="1">INT(Tabla2[[#This Row],[Antigüedad]]/3)</f>
        <v>2</v>
      </c>
      <c r="J19" s="9">
        <v>1750</v>
      </c>
      <c r="K19" t="s">
        <v>67</v>
      </c>
      <c r="L19" s="7">
        <f>IF(Tabla2[[#This Row],[Localidad
Destino]]="Lepe",55,(IF(Tabla2[[#This Row],[Localidad
Destino]]="Madrid",90,(IF(Tabla2[[#This Row],[Localidad
Destino]]="Sevilla",60,0)))))</f>
        <v>0</v>
      </c>
      <c r="M19" s="9">
        <f ca="1">Tabla2[[#This Row],[Trienios]]*87.5</f>
        <v>175</v>
      </c>
      <c r="N19" s="9">
        <f>IF(Tabla2[[#This Row],[Fijo]]=TRUE,50,0)</f>
        <v>50</v>
      </c>
      <c r="O19" s="10">
        <f ca="1">Tabla2[[#This Row],[Sueldo]]+Tabla2[[#This Row],[Complemento
Destino]]+Tabla2[[#This Row],[Complemento
Antigüedad]]+Tabla2[[#This Row],[Complemento
Fijo]]</f>
        <v>1975</v>
      </c>
      <c r="P19" s="12">
        <f ca="1">IF(Tabla2[[#This Row],[Sueldo Bruto]]&gt;=2000,20%,IF(Tabla2[[#This Row],[Sueldo Bruto]]&gt;=1500,15%,10%))</f>
        <v>0.15</v>
      </c>
      <c r="Q19" s="10">
        <f ca="1">Tabla2[[#This Row],[Sueldo Bruto]]-(Tabla2[[#This Row],[Sueldo Bruto]]*Tabla2[[#This Row],[IRPF]])</f>
        <v>1678.75</v>
      </c>
      <c r="R19" s="13" t="b">
        <v>1</v>
      </c>
    </row>
    <row r="20" spans="1:18" x14ac:dyDescent="0.3">
      <c r="A20" t="s">
        <v>32</v>
      </c>
      <c r="B20" t="s">
        <v>60</v>
      </c>
      <c r="C20" t="s">
        <v>57</v>
      </c>
      <c r="D20" t="str">
        <f>CONCATENATE(Tabla2[[#This Row],[Nombre]]," ",Tabla2[[#This Row],[Apellido 1]]," ",Tabla2[[#This Row],[Apellido 2]])</f>
        <v>Roberto Mejías Fernández</v>
      </c>
      <c r="E20" s="1">
        <v>28874</v>
      </c>
      <c r="F20">
        <f ca="1">INT((TODAY()-Tabla2[[#This Row],[Fecha de nacimiento]])/365.25)</f>
        <v>45</v>
      </c>
      <c r="G20" s="1">
        <v>37500</v>
      </c>
      <c r="H20">
        <f ca="1">INT((TODAY()-Tabla2[[#This Row],[Fecha
Ingreso]])/365.25)</f>
        <v>22</v>
      </c>
      <c r="I20">
        <f ca="1">INT(Tabla2[[#This Row],[Antigüedad]]/3)</f>
        <v>7</v>
      </c>
      <c r="J20" s="9">
        <v>2350</v>
      </c>
      <c r="K20" t="s">
        <v>68</v>
      </c>
      <c r="L20" s="7">
        <f>IF(Tabla2[[#This Row],[Localidad
Destino]]="Lepe",55,(IF(Tabla2[[#This Row],[Localidad
Destino]]="Madrid",90,(IF(Tabla2[[#This Row],[Localidad
Destino]]="Sevilla",60,0)))))</f>
        <v>60</v>
      </c>
      <c r="M20" s="9">
        <f ca="1">Tabla2[[#This Row],[Trienios]]*87.5</f>
        <v>612.5</v>
      </c>
      <c r="N20" s="9">
        <f>IF(Tabla2[[#This Row],[Fijo]]=TRUE,50,0)</f>
        <v>50</v>
      </c>
      <c r="O20" s="10">
        <f ca="1">Tabla2[[#This Row],[Sueldo]]+Tabla2[[#This Row],[Complemento
Destino]]+Tabla2[[#This Row],[Complemento
Antigüedad]]+Tabla2[[#This Row],[Complemento
Fijo]]</f>
        <v>3072.5</v>
      </c>
      <c r="P20" s="12">
        <f ca="1">IF(Tabla2[[#This Row],[Sueldo Bruto]]&gt;=2000,20%,IF(Tabla2[[#This Row],[Sueldo Bruto]]&gt;=1500,15%,10%))</f>
        <v>0.2</v>
      </c>
      <c r="Q20" s="10">
        <f ca="1">Tabla2[[#This Row],[Sueldo Bruto]]-(Tabla2[[#This Row],[Sueldo Bruto]]*Tabla2[[#This Row],[IRPF]])</f>
        <v>2458</v>
      </c>
      <c r="R20" s="13" t="b">
        <v>1</v>
      </c>
    </row>
    <row r="21" spans="1:18" x14ac:dyDescent="0.3">
      <c r="A21" t="s">
        <v>33</v>
      </c>
      <c r="B21" t="s">
        <v>43</v>
      </c>
      <c r="C21" t="s">
        <v>38</v>
      </c>
      <c r="D21" t="str">
        <f>CONCATENATE(Tabla2[[#This Row],[Nombre]]," ",Tabla2[[#This Row],[Apellido 1]]," ",Tabla2[[#This Row],[Apellido 2]])</f>
        <v>Julia Navarro López</v>
      </c>
      <c r="E21" s="1">
        <v>33685</v>
      </c>
      <c r="F21">
        <f ca="1">INT((TODAY()-Tabla2[[#This Row],[Fecha de nacimiento]])/365.25)</f>
        <v>32</v>
      </c>
      <c r="G21" s="1">
        <v>40954</v>
      </c>
      <c r="H21">
        <f ca="1">INT((TODAY()-Tabla2[[#This Row],[Fecha
Ingreso]])/365.25)</f>
        <v>12</v>
      </c>
      <c r="I21">
        <f ca="1">INT(Tabla2[[#This Row],[Antigüedad]]/3)</f>
        <v>4</v>
      </c>
      <c r="J21" s="9">
        <v>1780</v>
      </c>
      <c r="K21" t="s">
        <v>69</v>
      </c>
      <c r="L21" s="7">
        <f>IF(Tabla2[[#This Row],[Localidad
Destino]]="Lepe",55,(IF(Tabla2[[#This Row],[Localidad
Destino]]="Madrid",90,(IF(Tabla2[[#This Row],[Localidad
Destino]]="Sevilla",60,0)))))</f>
        <v>90</v>
      </c>
      <c r="M21" s="9">
        <f ca="1">Tabla2[[#This Row],[Trienios]]*87.5</f>
        <v>350</v>
      </c>
      <c r="N21" s="9">
        <f>IF(Tabla2[[#This Row],[Fijo]]=TRUE,50,0)</f>
        <v>50</v>
      </c>
      <c r="O21" s="10">
        <f ca="1">Tabla2[[#This Row],[Sueldo]]+Tabla2[[#This Row],[Complemento
Destino]]+Tabla2[[#This Row],[Complemento
Antigüedad]]+Tabla2[[#This Row],[Complemento
Fijo]]</f>
        <v>2270</v>
      </c>
      <c r="P21" s="12">
        <f ca="1">IF(Tabla2[[#This Row],[Sueldo Bruto]]&gt;=2000,20%,IF(Tabla2[[#This Row],[Sueldo Bruto]]&gt;=1500,15%,10%))</f>
        <v>0.2</v>
      </c>
      <c r="Q21" s="10">
        <f ca="1">Tabla2[[#This Row],[Sueldo Bruto]]-(Tabla2[[#This Row],[Sueldo Bruto]]*Tabla2[[#This Row],[IRPF]])</f>
        <v>1816</v>
      </c>
      <c r="R21" s="13" t="b">
        <v>1</v>
      </c>
    </row>
    <row r="26" spans="1:18" ht="15" thickBot="1" x14ac:dyDescent="0.35"/>
    <row r="27" spans="1:18" x14ac:dyDescent="0.3">
      <c r="A27" s="23" t="s">
        <v>71</v>
      </c>
      <c r="B27" s="24">
        <f>COUNTA(Tabla2[Nombre])</f>
        <v>20</v>
      </c>
    </row>
    <row r="28" spans="1:18" ht="15" thickBot="1" x14ac:dyDescent="0.35">
      <c r="A28" s="14" t="s">
        <v>72</v>
      </c>
      <c r="B28" s="22">
        <f ca="1">AVERAGE(Tabla2[Líquido])</f>
        <v>1543.7075</v>
      </c>
    </row>
    <row r="57" spans="2:2" x14ac:dyDescent="0.3">
      <c r="B57" s="25"/>
    </row>
  </sheetData>
  <conditionalFormatting sqref="F2:F2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{2A17890E-6E3E-4C5F-9752-192D631E6779}</x14:id>
        </ext>
      </extLst>
    </cfRule>
  </conditionalFormatting>
  <conditionalFormatting sqref="H2:H2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{B079DFB3-6139-4A9E-ADD5-B23D307A812F}</x14:id>
        </ext>
      </extLst>
    </cfRule>
  </conditionalFormatting>
  <conditionalFormatting sqref="Q2:Q2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{EE1D7402-4871-4692-9876-EEBD54CC793F}</x14:id>
        </ext>
      </extLst>
    </cfRule>
  </conditionalFormatting>
  <dataValidations disablePrompts="1" count="1">
    <dataValidation type="list" allowBlank="1" showInputMessage="1" showErrorMessage="1" sqref="K2:K21" xr:uid="{9A0419BC-6031-4709-9C68-E162A8F294A4}">
      <formula1>"Jerez,Lepe,Sevilla,Madrid"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Check Box 2">
              <controlPr defaultSize="0" autoFill="0" autoLine="0" autoPict="0">
                <anchor moveWithCells="1">
                  <from>
                    <xdr:col>17</xdr:col>
                    <xdr:colOff>68580</xdr:colOff>
                    <xdr:row>1</xdr:row>
                    <xdr:rowOff>0</xdr:rowOff>
                  </from>
                  <to>
                    <xdr:col>17</xdr:col>
                    <xdr:colOff>251460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17</xdr:col>
                    <xdr:colOff>68580</xdr:colOff>
                    <xdr:row>2</xdr:row>
                    <xdr:rowOff>0</xdr:rowOff>
                  </from>
                  <to>
                    <xdr:col>17</xdr:col>
                    <xdr:colOff>251460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17</xdr:col>
                    <xdr:colOff>68580</xdr:colOff>
                    <xdr:row>3</xdr:row>
                    <xdr:rowOff>0</xdr:rowOff>
                  </from>
                  <to>
                    <xdr:col>17</xdr:col>
                    <xdr:colOff>251460</xdr:colOff>
                    <xdr:row>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17</xdr:col>
                    <xdr:colOff>68580</xdr:colOff>
                    <xdr:row>4</xdr:row>
                    <xdr:rowOff>0</xdr:rowOff>
                  </from>
                  <to>
                    <xdr:col>17</xdr:col>
                    <xdr:colOff>251460</xdr:colOff>
                    <xdr:row>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17</xdr:col>
                    <xdr:colOff>68580</xdr:colOff>
                    <xdr:row>4</xdr:row>
                    <xdr:rowOff>175260</xdr:rowOff>
                  </from>
                  <to>
                    <xdr:col>17</xdr:col>
                    <xdr:colOff>251460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17</xdr:col>
                    <xdr:colOff>68580</xdr:colOff>
                    <xdr:row>5</xdr:row>
                    <xdr:rowOff>175260</xdr:rowOff>
                  </from>
                  <to>
                    <xdr:col>17</xdr:col>
                    <xdr:colOff>251460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17</xdr:col>
                    <xdr:colOff>68580</xdr:colOff>
                    <xdr:row>7</xdr:row>
                    <xdr:rowOff>0</xdr:rowOff>
                  </from>
                  <to>
                    <xdr:col>17</xdr:col>
                    <xdr:colOff>251460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17</xdr:col>
                    <xdr:colOff>68580</xdr:colOff>
                    <xdr:row>8</xdr:row>
                    <xdr:rowOff>0</xdr:rowOff>
                  </from>
                  <to>
                    <xdr:col>17</xdr:col>
                    <xdr:colOff>251460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17</xdr:col>
                    <xdr:colOff>68580</xdr:colOff>
                    <xdr:row>8</xdr:row>
                    <xdr:rowOff>175260</xdr:rowOff>
                  </from>
                  <to>
                    <xdr:col>17</xdr:col>
                    <xdr:colOff>251460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17</xdr:col>
                    <xdr:colOff>68580</xdr:colOff>
                    <xdr:row>9</xdr:row>
                    <xdr:rowOff>175260</xdr:rowOff>
                  </from>
                  <to>
                    <xdr:col>17</xdr:col>
                    <xdr:colOff>251460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17</xdr:col>
                    <xdr:colOff>68580</xdr:colOff>
                    <xdr:row>10</xdr:row>
                    <xdr:rowOff>175260</xdr:rowOff>
                  </from>
                  <to>
                    <xdr:col>17</xdr:col>
                    <xdr:colOff>251460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17</xdr:col>
                    <xdr:colOff>68580</xdr:colOff>
                    <xdr:row>12</xdr:row>
                    <xdr:rowOff>0</xdr:rowOff>
                  </from>
                  <to>
                    <xdr:col>17</xdr:col>
                    <xdr:colOff>251460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17</xdr:col>
                    <xdr:colOff>68580</xdr:colOff>
                    <xdr:row>13</xdr:row>
                    <xdr:rowOff>0</xdr:rowOff>
                  </from>
                  <to>
                    <xdr:col>17</xdr:col>
                    <xdr:colOff>251460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17</xdr:col>
                    <xdr:colOff>68580</xdr:colOff>
                    <xdr:row>14</xdr:row>
                    <xdr:rowOff>0</xdr:rowOff>
                  </from>
                  <to>
                    <xdr:col>17</xdr:col>
                    <xdr:colOff>251460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17</xdr:col>
                    <xdr:colOff>68580</xdr:colOff>
                    <xdr:row>15</xdr:row>
                    <xdr:rowOff>0</xdr:rowOff>
                  </from>
                  <to>
                    <xdr:col>17</xdr:col>
                    <xdr:colOff>251460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17</xdr:col>
                    <xdr:colOff>68580</xdr:colOff>
                    <xdr:row>16</xdr:row>
                    <xdr:rowOff>0</xdr:rowOff>
                  </from>
                  <to>
                    <xdr:col>17</xdr:col>
                    <xdr:colOff>251460</xdr:colOff>
                    <xdr:row>17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17</xdr:col>
                    <xdr:colOff>68580</xdr:colOff>
                    <xdr:row>16</xdr:row>
                    <xdr:rowOff>175260</xdr:rowOff>
                  </from>
                  <to>
                    <xdr:col>17</xdr:col>
                    <xdr:colOff>251460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17</xdr:col>
                    <xdr:colOff>68580</xdr:colOff>
                    <xdr:row>17</xdr:row>
                    <xdr:rowOff>175260</xdr:rowOff>
                  </from>
                  <to>
                    <xdr:col>17</xdr:col>
                    <xdr:colOff>251460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17</xdr:col>
                    <xdr:colOff>68580</xdr:colOff>
                    <xdr:row>19</xdr:row>
                    <xdr:rowOff>0</xdr:rowOff>
                  </from>
                  <to>
                    <xdr:col>17</xdr:col>
                    <xdr:colOff>251460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17</xdr:col>
                    <xdr:colOff>68580</xdr:colOff>
                    <xdr:row>20</xdr:row>
                    <xdr:rowOff>0</xdr:rowOff>
                  </from>
                  <to>
                    <xdr:col>17</xdr:col>
                    <xdr:colOff>251460</xdr:colOff>
                    <xdr:row>21</xdr:row>
                    <xdr:rowOff>7620</xdr:rowOff>
                  </to>
                </anchor>
              </controlPr>
            </control>
          </mc:Choice>
        </mc:AlternateContent>
      </controls>
    </mc:Choice>
  </mc:AlternateContent>
  <tableParts count="1">
    <tablePart r:id="rId2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17890E-6E3E-4C5F-9752-192D631E67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dataBar" id="{B079DFB3-6139-4A9E-ADD5-B23D307A812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H2:H21</xm:sqref>
        </x14:conditionalFormatting>
        <x14:conditionalFormatting xmlns:xm="http://schemas.microsoft.com/office/excel/2006/main">
          <x14:cfRule type="dataBar" id="{EE1D7402-4871-4692-9876-EEBD54CC79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Q2:Q21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F505-7746-4D3B-88D8-C73F23D07FAE}">
  <dimension ref="A2:E11"/>
  <sheetViews>
    <sheetView workbookViewId="0">
      <selection activeCell="B3" sqref="B3:D3"/>
    </sheetView>
  </sheetViews>
  <sheetFormatPr baseColWidth="10" defaultRowHeight="14.4" x14ac:dyDescent="0.3"/>
  <cols>
    <col min="1" max="1" width="27.6640625" customWidth="1"/>
    <col min="2" max="2" width="13.33203125" customWidth="1"/>
    <col min="3" max="3" width="27.21875" customWidth="1"/>
  </cols>
  <sheetData>
    <row r="2" spans="1:5" ht="22.8" customHeight="1" thickBot="1" x14ac:dyDescent="0.35">
      <c r="A2" s="21" t="s">
        <v>79</v>
      </c>
      <c r="B2" s="21"/>
      <c r="C2" s="21"/>
      <c r="D2" s="21"/>
    </row>
    <row r="3" spans="1:5" ht="19.95" customHeight="1" thickTop="1" thickBot="1" x14ac:dyDescent="0.35">
      <c r="A3" s="29" t="s">
        <v>73</v>
      </c>
      <c r="B3" s="33" t="s">
        <v>80</v>
      </c>
      <c r="C3" s="34"/>
      <c r="D3" s="34"/>
    </row>
    <row r="4" spans="1:5" ht="19.95" customHeight="1" thickTop="1" thickBot="1" x14ac:dyDescent="0.35">
      <c r="A4" s="29" t="s">
        <v>14</v>
      </c>
      <c r="B4" s="15">
        <f>VLOOKUP($B$3,'Lista de empleados'!D:R,2,FALSE)</f>
        <v>32814</v>
      </c>
      <c r="C4" s="27" t="s">
        <v>76</v>
      </c>
      <c r="D4" s="18">
        <f>VLOOKUP($B$3,'Lista de empleados'!D:R,9,FALSE)</f>
        <v>0</v>
      </c>
    </row>
    <row r="5" spans="1:5" ht="19.95" customHeight="1" thickTop="1" thickBot="1" x14ac:dyDescent="0.35">
      <c r="A5" s="30" t="s">
        <v>3</v>
      </c>
      <c r="B5" s="16">
        <f ca="1">VLOOKUP($B$3,'Lista de empleados'!D:R,3,FALSE)</f>
        <v>35</v>
      </c>
      <c r="C5" s="28" t="s">
        <v>77</v>
      </c>
      <c r="D5" s="18">
        <f ca="1">VLOOKUP($B$3,'Lista de empleados'!D:R,10,FALSE)</f>
        <v>175</v>
      </c>
    </row>
    <row r="6" spans="1:5" ht="19.95" customHeight="1" thickTop="1" thickBot="1" x14ac:dyDescent="0.35">
      <c r="A6" s="29" t="s">
        <v>74</v>
      </c>
      <c r="B6" s="15">
        <f>VLOOKUP($B$3,'Lista de empleados'!D:R,4,FALSE)</f>
        <v>42366</v>
      </c>
      <c r="C6" s="29" t="s">
        <v>78</v>
      </c>
      <c r="D6" s="18">
        <f>VLOOKUP($B$3,'Lista de empleados'!D:R,11,FALSE)</f>
        <v>50</v>
      </c>
    </row>
    <row r="7" spans="1:5" ht="19.95" customHeight="1" thickTop="1" thickBot="1" x14ac:dyDescent="0.35">
      <c r="A7" s="30" t="s">
        <v>4</v>
      </c>
      <c r="B7" s="16">
        <f ca="1">VLOOKUP($B$3,'Lista de empleados'!D:R,5,FALSE)</f>
        <v>8</v>
      </c>
      <c r="C7" s="30" t="s">
        <v>7</v>
      </c>
      <c r="D7" s="18">
        <f ca="1">VLOOKUP($B$3,'Lista de empleados'!D:R,12,FALSE)</f>
        <v>1905</v>
      </c>
    </row>
    <row r="8" spans="1:5" ht="19.95" customHeight="1" thickTop="1" thickBot="1" x14ac:dyDescent="0.35">
      <c r="A8" s="30" t="s">
        <v>5</v>
      </c>
      <c r="B8" s="16">
        <f ca="1">VLOOKUP($B$3,'Lista de empleados'!D:R,6,FALSE)</f>
        <v>2</v>
      </c>
      <c r="C8" s="31" t="s">
        <v>8</v>
      </c>
      <c r="D8" s="19">
        <f ca="1">VLOOKUP($B$3,'Lista de empleados'!D:R,13,FALSE)</f>
        <v>0.15</v>
      </c>
    </row>
    <row r="9" spans="1:5" ht="19.95" customHeight="1" thickTop="1" thickBot="1" x14ac:dyDescent="0.35">
      <c r="A9" s="32" t="s">
        <v>6</v>
      </c>
      <c r="B9" s="17">
        <f>VLOOKUP($B$3,'Lista de empleados'!D:R,7,FALSE)</f>
        <v>1680</v>
      </c>
      <c r="C9" s="30" t="s">
        <v>9</v>
      </c>
      <c r="D9" s="18">
        <f ca="1">VLOOKUP($B$3,'Lista de empleados'!D:R,14,FALSE)</f>
        <v>1619.25</v>
      </c>
    </row>
    <row r="10" spans="1:5" ht="19.95" customHeight="1" thickTop="1" thickBot="1" x14ac:dyDescent="0.35">
      <c r="A10" s="29" t="s">
        <v>75</v>
      </c>
      <c r="B10" s="15" t="str">
        <f>VLOOKUP($B$3,'Lista de empleados'!D:R,8,FALSE)</f>
        <v>Jerez</v>
      </c>
      <c r="C10" s="30" t="s">
        <v>10</v>
      </c>
      <c r="D10" s="26">
        <f>IF(E10=TRUE,1,0)</f>
        <v>1</v>
      </c>
      <c r="E10" s="20" t="b">
        <f>VLOOKUP($B$3,'Lista de empleados'!D:R,15,FALSE)</f>
        <v>1</v>
      </c>
    </row>
    <row r="11" spans="1:5" ht="15" thickTop="1" x14ac:dyDescent="0.3"/>
  </sheetData>
  <mergeCells count="2">
    <mergeCell ref="B3:D3"/>
    <mergeCell ref="A2:D2"/>
  </mergeCells>
  <conditionalFormatting sqref="D10">
    <cfRule type="cellIs" dxfId="0" priority="1" operator="equal">
      <formula>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02BF8F3E-9424-46B4-A5F2-8854D379C79B}">
            <x14:iconSet iconSet="3Star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D10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Nombre del trabajador" xr:uid="{E4913911-6C70-439D-9C27-081D1A2D7C44}">
          <x14:formula1>
            <xm:f>'Lista de empleados'!$D$2:$D$21</xm:f>
          </x14:formula1>
          <xm:sqref>B3:D3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28E795-B5A8-4C68-9430-6BE99D3A30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empleados</vt:lpstr>
      <vt:lpstr>Ficha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Escobar</dc:creator>
  <cp:lastModifiedBy>Raymond Escobar</cp:lastModifiedBy>
  <dcterms:created xsi:type="dcterms:W3CDTF">2024-10-29T09:23:20Z</dcterms:created>
  <dcterms:modified xsi:type="dcterms:W3CDTF">2024-11-05T09:48:40Z</dcterms:modified>
</cp:coreProperties>
</file>